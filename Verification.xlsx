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ikayshukla/Desktop/GRA/Models/FEM Models/Simo's static model/"/>
    </mc:Choice>
  </mc:AlternateContent>
  <xr:revisionPtr revIDLastSave="0" documentId="13_ncr:1_{8405C175-F5CC-094B-ABFE-7BE2287FD6C1}" xr6:coauthVersionLast="47" xr6:coauthVersionMax="47" xr10:uidLastSave="{00000000-0000-0000-0000-000000000000}"/>
  <bookViews>
    <workbookView xWindow="0" yWindow="760" windowWidth="29400" windowHeight="17200" xr2:uid="{399D07C8-64DA-784B-A3CF-75A5D5A1FD24}"/>
  </bookViews>
  <sheets>
    <sheet name="Verification" sheetId="1" r:id="rId1"/>
    <sheet name="Sheet4" sheetId="5" r:id="rId2"/>
    <sheet name="Sheet1" sheetId="2" r:id="rId3"/>
    <sheet name="Verification for pap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5" i="2" l="1"/>
  <c r="C305" i="2"/>
  <c r="C306" i="2"/>
  <c r="D306" i="2"/>
  <c r="E306" i="2"/>
  <c r="F306" i="2"/>
  <c r="G306" i="2"/>
  <c r="B306" i="2"/>
  <c r="C304" i="2"/>
  <c r="D304" i="2"/>
  <c r="E304" i="2"/>
  <c r="F304" i="2"/>
  <c r="G304" i="2"/>
  <c r="B304" i="2"/>
  <c r="V31" i="2"/>
  <c r="V30" i="2"/>
  <c r="V29" i="2"/>
  <c r="N31" i="2"/>
  <c r="N30" i="2"/>
  <c r="N29" i="2"/>
  <c r="R19" i="2"/>
  <c r="K291" i="2"/>
  <c r="L291" i="2"/>
  <c r="M291" i="2"/>
  <c r="N291" i="2"/>
  <c r="V291" i="2" s="1"/>
  <c r="O291" i="2"/>
  <c r="S266" i="2" s="1"/>
  <c r="K292" i="2"/>
  <c r="R99" i="2" s="1"/>
  <c r="L292" i="2"/>
  <c r="T292" i="2" s="1"/>
  <c r="M292" i="2"/>
  <c r="U292" i="2" s="1"/>
  <c r="N292" i="2"/>
  <c r="O292" i="2"/>
  <c r="K293" i="2"/>
  <c r="L293" i="2"/>
  <c r="S100" i="2" s="1"/>
  <c r="M293" i="2"/>
  <c r="R212" i="2" s="1"/>
  <c r="N293" i="2"/>
  <c r="S212" i="2" s="1"/>
  <c r="O293" i="2"/>
  <c r="J292" i="2"/>
  <c r="R292" i="2" s="1"/>
  <c r="J293" i="2"/>
  <c r="R5" i="2"/>
  <c r="W293" i="2"/>
  <c r="U293" i="2"/>
  <c r="R293" i="2"/>
  <c r="W292" i="2"/>
  <c r="V292" i="2"/>
  <c r="S267" i="2"/>
  <c r="R267" i="2"/>
  <c r="R271" i="2" s="1"/>
  <c r="R279" i="2" s="1"/>
  <c r="R234" i="2"/>
  <c r="V232" i="2"/>
  <c r="U232" i="2"/>
  <c r="U236" i="2" s="1"/>
  <c r="S232" i="2"/>
  <c r="R232" i="2"/>
  <c r="V231" i="2"/>
  <c r="U231" i="2"/>
  <c r="S231" i="2"/>
  <c r="R231" i="2"/>
  <c r="V230" i="2"/>
  <c r="U230" i="2"/>
  <c r="W234" i="2" s="1"/>
  <c r="S230" i="2"/>
  <c r="R230" i="2"/>
  <c r="S211" i="2"/>
  <c r="R211" i="2"/>
  <c r="W180" i="2"/>
  <c r="R178" i="2"/>
  <c r="V176" i="2"/>
  <c r="U176" i="2"/>
  <c r="U180" i="2" s="1"/>
  <c r="S176" i="2"/>
  <c r="R176" i="2"/>
  <c r="V175" i="2"/>
  <c r="W179" i="2" s="1"/>
  <c r="U175" i="2"/>
  <c r="S175" i="2"/>
  <c r="R175" i="2"/>
  <c r="V174" i="2"/>
  <c r="U174" i="2"/>
  <c r="W178" i="2" s="1"/>
  <c r="S174" i="2"/>
  <c r="R174" i="2"/>
  <c r="S155" i="2"/>
  <c r="R155" i="2"/>
  <c r="R122" i="2"/>
  <c r="V120" i="2"/>
  <c r="U120" i="2"/>
  <c r="S120" i="2"/>
  <c r="R120" i="2"/>
  <c r="R124" i="2" s="1"/>
  <c r="V119" i="2"/>
  <c r="U119" i="2"/>
  <c r="S119" i="2"/>
  <c r="R119" i="2"/>
  <c r="V118" i="2"/>
  <c r="U118" i="2"/>
  <c r="W122" i="2" s="1"/>
  <c r="S118" i="2"/>
  <c r="R118" i="2"/>
  <c r="S99" i="2"/>
  <c r="W66" i="2"/>
  <c r="U66" i="2"/>
  <c r="V64" i="2"/>
  <c r="U64" i="2"/>
  <c r="S64" i="2"/>
  <c r="R64" i="2"/>
  <c r="V63" i="2"/>
  <c r="W67" i="2" s="1"/>
  <c r="U63" i="2"/>
  <c r="S63" i="2"/>
  <c r="R63" i="2"/>
  <c r="V62" i="2"/>
  <c r="U62" i="2"/>
  <c r="S62" i="2"/>
  <c r="R66" i="2" s="1"/>
  <c r="R62" i="2"/>
  <c r="R43" i="2"/>
  <c r="R41" i="2"/>
  <c r="R9" i="2"/>
  <c r="V7" i="2"/>
  <c r="W11" i="2" s="1"/>
  <c r="U7" i="2"/>
  <c r="U11" i="2" s="1"/>
  <c r="S7" i="2"/>
  <c r="R7" i="2"/>
  <c r="V6" i="2"/>
  <c r="U10" i="2" s="1"/>
  <c r="U6" i="2"/>
  <c r="S6" i="2"/>
  <c r="R6" i="2"/>
  <c r="V5" i="2"/>
  <c r="U9" i="2" s="1"/>
  <c r="U5" i="2"/>
  <c r="W9" i="2" s="1"/>
  <c r="S5" i="2"/>
  <c r="S43" i="2"/>
  <c r="R98" i="2"/>
  <c r="S98" i="2"/>
  <c r="R210" i="2"/>
  <c r="S268" i="2"/>
  <c r="J291" i="2"/>
  <c r="R291" i="2" s="1"/>
  <c r="J280" i="2"/>
  <c r="J279" i="2"/>
  <c r="J272" i="2"/>
  <c r="J271" i="2"/>
  <c r="K266" i="2"/>
  <c r="K267" i="2"/>
  <c r="K268" i="2"/>
  <c r="J267" i="2"/>
  <c r="J268" i="2"/>
  <c r="J266" i="2"/>
  <c r="J270" i="2" s="1"/>
  <c r="J278" i="2" s="1"/>
  <c r="J252" i="2"/>
  <c r="J251" i="2"/>
  <c r="J250" i="2"/>
  <c r="J247" i="2"/>
  <c r="J248" i="2"/>
  <c r="J246" i="2"/>
  <c r="O236" i="2"/>
  <c r="O234" i="2"/>
  <c r="M236" i="2"/>
  <c r="M234" i="2"/>
  <c r="J236" i="2"/>
  <c r="J235" i="2"/>
  <c r="J234" i="2"/>
  <c r="N230" i="2"/>
  <c r="N231" i="2"/>
  <c r="O235" i="2" s="1"/>
  <c r="N232" i="2"/>
  <c r="M231" i="2"/>
  <c r="M232" i="2"/>
  <c r="M230" i="2"/>
  <c r="K230" i="2"/>
  <c r="K231" i="2"/>
  <c r="K232" i="2"/>
  <c r="J231" i="2"/>
  <c r="J232" i="2"/>
  <c r="J230" i="2"/>
  <c r="J224" i="2"/>
  <c r="J223" i="2"/>
  <c r="J216" i="2"/>
  <c r="J215" i="2"/>
  <c r="K210" i="2"/>
  <c r="J214" i="2" s="1"/>
  <c r="J222" i="2" s="1"/>
  <c r="K211" i="2"/>
  <c r="K212" i="2"/>
  <c r="J211" i="2"/>
  <c r="J212" i="2"/>
  <c r="J210" i="2"/>
  <c r="J195" i="2"/>
  <c r="J196" i="2"/>
  <c r="J194" i="2"/>
  <c r="J191" i="2"/>
  <c r="J192" i="2"/>
  <c r="J190" i="2"/>
  <c r="O179" i="2"/>
  <c r="O180" i="2"/>
  <c r="O178" i="2"/>
  <c r="M180" i="2"/>
  <c r="M178" i="2"/>
  <c r="J180" i="2"/>
  <c r="J178" i="2"/>
  <c r="N174" i="2"/>
  <c r="N175" i="2"/>
  <c r="N176" i="2"/>
  <c r="M175" i="2"/>
  <c r="M179" i="2" s="1"/>
  <c r="M176" i="2"/>
  <c r="M174" i="2"/>
  <c r="K174" i="2"/>
  <c r="K175" i="2"/>
  <c r="K176" i="2"/>
  <c r="J175" i="2"/>
  <c r="J176" i="2"/>
  <c r="J174" i="2"/>
  <c r="K154" i="2"/>
  <c r="J158" i="2" s="1"/>
  <c r="J166" i="2" s="1"/>
  <c r="K155" i="2"/>
  <c r="K156" i="2"/>
  <c r="J155" i="2"/>
  <c r="J156" i="2"/>
  <c r="J154" i="2"/>
  <c r="J139" i="2"/>
  <c r="J140" i="2"/>
  <c r="J138" i="2"/>
  <c r="J135" i="2"/>
  <c r="J136" i="2"/>
  <c r="J134" i="2"/>
  <c r="N118" i="2"/>
  <c r="N119" i="2"/>
  <c r="N120" i="2"/>
  <c r="O124" i="2" s="1"/>
  <c r="M119" i="2"/>
  <c r="O123" i="2" s="1"/>
  <c r="M120" i="2"/>
  <c r="M124" i="2" s="1"/>
  <c r="M118" i="2"/>
  <c r="K118" i="2"/>
  <c r="K119" i="2"/>
  <c r="K120" i="2"/>
  <c r="J119" i="2"/>
  <c r="J120" i="2"/>
  <c r="J118" i="2"/>
  <c r="J159" i="2"/>
  <c r="J167" i="2" s="1"/>
  <c r="J124" i="2"/>
  <c r="J122" i="2"/>
  <c r="K98" i="2"/>
  <c r="K99" i="2"/>
  <c r="K100" i="2"/>
  <c r="J99" i="2"/>
  <c r="J100" i="2"/>
  <c r="J98" i="2"/>
  <c r="J102" i="2" s="1"/>
  <c r="J110" i="2" s="1"/>
  <c r="J83" i="2"/>
  <c r="J84" i="2"/>
  <c r="J82" i="2"/>
  <c r="N62" i="2"/>
  <c r="N63" i="2"/>
  <c r="N64" i="2"/>
  <c r="M63" i="2"/>
  <c r="M64" i="2"/>
  <c r="M62" i="2"/>
  <c r="K62" i="2"/>
  <c r="K63" i="2"/>
  <c r="K64" i="2"/>
  <c r="J63" i="2"/>
  <c r="J64" i="2"/>
  <c r="J62" i="2"/>
  <c r="K41" i="2"/>
  <c r="J45" i="2" s="1"/>
  <c r="J53" i="2" s="1"/>
  <c r="K42" i="2"/>
  <c r="K43" i="2"/>
  <c r="J42" i="2"/>
  <c r="J43" i="2"/>
  <c r="J47" i="2" s="1"/>
  <c r="J55" i="2" s="1"/>
  <c r="J41" i="2"/>
  <c r="J26" i="2"/>
  <c r="J27" i="2"/>
  <c r="J25" i="2"/>
  <c r="N5" i="2"/>
  <c r="N6" i="2"/>
  <c r="N7" i="2"/>
  <c r="M6" i="2"/>
  <c r="M7" i="2"/>
  <c r="M5" i="2"/>
  <c r="K5" i="2"/>
  <c r="K6" i="2"/>
  <c r="J10" i="2" s="1"/>
  <c r="K7" i="2"/>
  <c r="J6" i="2"/>
  <c r="J7" i="2"/>
  <c r="J5" i="2"/>
  <c r="B160" i="2"/>
  <c r="B168" i="2" s="1"/>
  <c r="B159" i="2"/>
  <c r="B167" i="2" s="1"/>
  <c r="B158" i="2"/>
  <c r="B166" i="2" s="1"/>
  <c r="F144" i="2"/>
  <c r="D144" i="2"/>
  <c r="B144" i="2"/>
  <c r="B148" i="2" s="1"/>
  <c r="B152" i="2" s="1"/>
  <c r="F143" i="2"/>
  <c r="D143" i="2"/>
  <c r="B143" i="2"/>
  <c r="F142" i="2"/>
  <c r="D142" i="2"/>
  <c r="B142" i="2"/>
  <c r="B146" i="2" s="1"/>
  <c r="B150" i="2" s="1"/>
  <c r="B140" i="2"/>
  <c r="B139" i="2"/>
  <c r="B138" i="2"/>
  <c r="G124" i="2"/>
  <c r="E124" i="2"/>
  <c r="B124" i="2"/>
  <c r="G123" i="2"/>
  <c r="E123" i="2"/>
  <c r="B123" i="2"/>
  <c r="G122" i="2"/>
  <c r="E122" i="2"/>
  <c r="B122" i="2"/>
  <c r="B83" i="2"/>
  <c r="B84" i="2"/>
  <c r="B82" i="2"/>
  <c r="J104" i="2"/>
  <c r="J112" i="2" s="1"/>
  <c r="J103" i="2"/>
  <c r="J111" i="2" s="1"/>
  <c r="O68" i="2"/>
  <c r="M68" i="2"/>
  <c r="O67" i="2"/>
  <c r="M67" i="2"/>
  <c r="O66" i="2"/>
  <c r="M66" i="2"/>
  <c r="J46" i="2"/>
  <c r="J54" i="2" s="1"/>
  <c r="O11" i="2"/>
  <c r="M11" i="2"/>
  <c r="O10" i="2"/>
  <c r="M10" i="2"/>
  <c r="O9" i="2"/>
  <c r="M9" i="2"/>
  <c r="B104" i="2"/>
  <c r="B112" i="2" s="1"/>
  <c r="B103" i="2"/>
  <c r="B111" i="2" s="1"/>
  <c r="B102" i="2"/>
  <c r="B110" i="2" s="1"/>
  <c r="G68" i="2"/>
  <c r="E68" i="2"/>
  <c r="B68" i="2"/>
  <c r="G67" i="2"/>
  <c r="E67" i="2"/>
  <c r="B67" i="2"/>
  <c r="G66" i="2"/>
  <c r="E66" i="2"/>
  <c r="B66" i="2"/>
  <c r="B26" i="2"/>
  <c r="B27" i="2"/>
  <c r="B25" i="2"/>
  <c r="B46" i="2"/>
  <c r="B54" i="2" s="1"/>
  <c r="B47" i="2"/>
  <c r="B55" i="2" s="1"/>
  <c r="B45" i="2"/>
  <c r="B53" i="2" s="1"/>
  <c r="G10" i="2"/>
  <c r="G11" i="2"/>
  <c r="G9" i="2"/>
  <c r="E10" i="2"/>
  <c r="E11" i="2"/>
  <c r="E9" i="2"/>
  <c r="B10" i="2"/>
  <c r="B11" i="2"/>
  <c r="B9" i="2"/>
  <c r="R67" i="2" l="1"/>
  <c r="S42" i="2"/>
  <c r="R103" i="2"/>
  <c r="R111" i="2" s="1"/>
  <c r="S156" i="2"/>
  <c r="R215" i="2"/>
  <c r="R223" i="2" s="1"/>
  <c r="S292" i="2"/>
  <c r="R159" i="2"/>
  <c r="R167" i="2" s="1"/>
  <c r="R42" i="2"/>
  <c r="R46" i="2" s="1"/>
  <c r="R54" i="2" s="1"/>
  <c r="S293" i="2"/>
  <c r="R100" i="2"/>
  <c r="W291" i="2"/>
  <c r="T291" i="2"/>
  <c r="R154" i="2"/>
  <c r="J179" i="2"/>
  <c r="R102" i="2"/>
  <c r="R110" i="2" s="1"/>
  <c r="S291" i="2"/>
  <c r="R158" i="2"/>
  <c r="R166" i="2" s="1"/>
  <c r="U291" i="2"/>
  <c r="S41" i="2"/>
  <c r="R45" i="2" s="1"/>
  <c r="R53" i="2" s="1"/>
  <c r="S210" i="2"/>
  <c r="R214" i="2" s="1"/>
  <c r="R222" i="2" s="1"/>
  <c r="S154" i="2"/>
  <c r="M235" i="2"/>
  <c r="J240" i="2"/>
  <c r="J238" i="2"/>
  <c r="J182" i="2"/>
  <c r="J184" i="2"/>
  <c r="M123" i="2"/>
  <c r="R235" i="2"/>
  <c r="R236" i="2"/>
  <c r="R179" i="2"/>
  <c r="R180" i="2"/>
  <c r="R123" i="2"/>
  <c r="R11" i="2"/>
  <c r="R68" i="2"/>
  <c r="R10" i="2"/>
  <c r="W68" i="2"/>
  <c r="W10" i="2"/>
  <c r="U67" i="2"/>
  <c r="W123" i="2"/>
  <c r="W124" i="2"/>
  <c r="U124" i="2"/>
  <c r="W236" i="2"/>
  <c r="W235" i="2"/>
  <c r="V293" i="2"/>
  <c r="R268" i="2"/>
  <c r="R272" i="2" s="1"/>
  <c r="R280" i="2" s="1"/>
  <c r="R216" i="2"/>
  <c r="R224" i="2" s="1"/>
  <c r="T293" i="2"/>
  <c r="R104" i="2"/>
  <c r="R112" i="2" s="1"/>
  <c r="R156" i="2"/>
  <c r="R160" i="2" s="1"/>
  <c r="R168" i="2" s="1"/>
  <c r="R47" i="2"/>
  <c r="R55" i="2" s="1"/>
  <c r="R266" i="2"/>
  <c r="R270" i="2" s="1"/>
  <c r="R278" i="2" s="1"/>
  <c r="R13" i="2"/>
  <c r="R15" i="2"/>
  <c r="U68" i="2"/>
  <c r="U122" i="2"/>
  <c r="U178" i="2"/>
  <c r="U234" i="2"/>
  <c r="U123" i="2"/>
  <c r="U179" i="2"/>
  <c r="U235" i="2"/>
  <c r="J123" i="2"/>
  <c r="J160" i="2"/>
  <c r="J168" i="2" s="1"/>
  <c r="M122" i="2"/>
  <c r="O122" i="2"/>
  <c r="J126" i="2"/>
  <c r="B128" i="2"/>
  <c r="B147" i="2"/>
  <c r="B151" i="2" s="1"/>
  <c r="B126" i="2"/>
  <c r="J9" i="2"/>
  <c r="J68" i="2"/>
  <c r="J11" i="2"/>
  <c r="J66" i="2"/>
  <c r="J67" i="2"/>
  <c r="J72" i="2"/>
  <c r="B72" i="2"/>
  <c r="J13" i="2"/>
  <c r="J15" i="2"/>
  <c r="J70" i="2"/>
  <c r="T87" i="2" s="1"/>
  <c r="B70" i="2"/>
  <c r="B13" i="2"/>
  <c r="B15" i="2"/>
  <c r="L255" i="2" l="1"/>
  <c r="J255" i="2"/>
  <c r="J254" i="2"/>
  <c r="L256" i="2"/>
  <c r="N254" i="2"/>
  <c r="N256" i="2"/>
  <c r="L254" i="2"/>
  <c r="J256" i="2"/>
  <c r="N255" i="2"/>
  <c r="L199" i="2"/>
  <c r="L200" i="2"/>
  <c r="J198" i="2"/>
  <c r="N199" i="2"/>
  <c r="L198" i="2"/>
  <c r="N200" i="2"/>
  <c r="N198" i="2"/>
  <c r="J199" i="2"/>
  <c r="J200" i="2"/>
  <c r="N143" i="2"/>
  <c r="J142" i="2"/>
  <c r="J144" i="2"/>
  <c r="J143" i="2"/>
  <c r="N144" i="2"/>
  <c r="N142" i="2"/>
  <c r="V88" i="2"/>
  <c r="R88" i="2"/>
  <c r="N87" i="2"/>
  <c r="T86" i="2"/>
  <c r="N88" i="2"/>
  <c r="T88" i="2"/>
  <c r="R92" i="2" s="1"/>
  <c r="R86" i="2"/>
  <c r="R87" i="2"/>
  <c r="R31" i="2"/>
  <c r="R29" i="2"/>
  <c r="T30" i="2"/>
  <c r="T31" i="2"/>
  <c r="T29" i="2"/>
  <c r="R30" i="2"/>
  <c r="R240" i="2"/>
  <c r="R238" i="2"/>
  <c r="R184" i="2"/>
  <c r="R182" i="2"/>
  <c r="R72" i="2"/>
  <c r="R70" i="2"/>
  <c r="R128" i="2"/>
  <c r="R126" i="2"/>
  <c r="V87" i="2"/>
  <c r="R91" i="2" s="1"/>
  <c r="V86" i="2"/>
  <c r="R90" i="2" s="1"/>
  <c r="J128" i="2"/>
  <c r="L143" i="2" s="1"/>
  <c r="J147" i="2" s="1"/>
  <c r="J151" i="2" s="1"/>
  <c r="R135" i="2" s="1"/>
  <c r="D86" i="2"/>
  <c r="B86" i="2"/>
  <c r="F87" i="2"/>
  <c r="F86" i="2"/>
  <c r="B87" i="2"/>
  <c r="D87" i="2"/>
  <c r="B88" i="2"/>
  <c r="F88" i="2"/>
  <c r="D88" i="2"/>
  <c r="B29" i="2"/>
  <c r="D29" i="2"/>
  <c r="F29" i="2"/>
  <c r="L29" i="2"/>
  <c r="J29" i="2"/>
  <c r="J87" i="2"/>
  <c r="L88" i="2"/>
  <c r="L86" i="2"/>
  <c r="N86" i="2"/>
  <c r="J88" i="2"/>
  <c r="J86" i="2"/>
  <c r="L87" i="2"/>
  <c r="L30" i="2"/>
  <c r="J30" i="2"/>
  <c r="J31" i="2"/>
  <c r="L31" i="2"/>
  <c r="D31" i="2"/>
  <c r="B30" i="2"/>
  <c r="B31" i="2"/>
  <c r="F30" i="2"/>
  <c r="F31" i="2"/>
  <c r="D30" i="2"/>
  <c r="J260" i="2" l="1"/>
  <c r="J264" i="2" s="1"/>
  <c r="R248" i="2" s="1"/>
  <c r="J258" i="2"/>
  <c r="J262" i="2" s="1"/>
  <c r="R246" i="2" s="1"/>
  <c r="J259" i="2"/>
  <c r="J263" i="2" s="1"/>
  <c r="R247" i="2" s="1"/>
  <c r="J203" i="2"/>
  <c r="J207" i="2" s="1"/>
  <c r="R191" i="2" s="1"/>
  <c r="L142" i="2"/>
  <c r="J146" i="2" s="1"/>
  <c r="J150" i="2" s="1"/>
  <c r="R134" i="2" s="1"/>
  <c r="J202" i="2"/>
  <c r="J206" i="2" s="1"/>
  <c r="R190" i="2" s="1"/>
  <c r="J204" i="2"/>
  <c r="J208" i="2" s="1"/>
  <c r="R192" i="2" s="1"/>
  <c r="L144" i="2"/>
  <c r="J148" i="2"/>
  <c r="J152" i="2" s="1"/>
  <c r="R136" i="2" s="1"/>
  <c r="R33" i="2"/>
  <c r="R34" i="2"/>
  <c r="R35" i="2"/>
  <c r="T199" i="2"/>
  <c r="R199" i="2"/>
  <c r="V198" i="2"/>
  <c r="T198" i="2"/>
  <c r="V200" i="2"/>
  <c r="R198" i="2"/>
  <c r="T200" i="2"/>
  <c r="R200" i="2"/>
  <c r="V199" i="2"/>
  <c r="T255" i="2"/>
  <c r="R255" i="2"/>
  <c r="V254" i="2"/>
  <c r="T254" i="2"/>
  <c r="V256" i="2"/>
  <c r="R254" i="2"/>
  <c r="T256" i="2"/>
  <c r="R256" i="2"/>
  <c r="V255" i="2"/>
  <c r="T143" i="2"/>
  <c r="R143" i="2"/>
  <c r="V142" i="2"/>
  <c r="T142" i="2"/>
  <c r="V144" i="2"/>
  <c r="R142" i="2"/>
  <c r="T144" i="2"/>
  <c r="R144" i="2"/>
  <c r="V143" i="2"/>
  <c r="J34" i="2"/>
  <c r="J38" i="2" s="1"/>
  <c r="R22" i="2" s="1"/>
  <c r="J33" i="2"/>
  <c r="J37" i="2" s="1"/>
  <c r="R21" i="2" s="1"/>
  <c r="B92" i="2"/>
  <c r="B96" i="2" s="1"/>
  <c r="J80" i="2" s="1"/>
  <c r="J92" i="2"/>
  <c r="J96" i="2" s="1"/>
  <c r="R80" i="2" s="1"/>
  <c r="R83" i="2" s="1"/>
  <c r="R95" i="2" s="1"/>
  <c r="J91" i="2"/>
  <c r="J95" i="2" s="1"/>
  <c r="R79" i="2" s="1"/>
  <c r="B91" i="2"/>
  <c r="B95" i="2" s="1"/>
  <c r="J79" i="2" s="1"/>
  <c r="J35" i="2"/>
  <c r="J39" i="2" s="1"/>
  <c r="R23" i="2" s="1"/>
  <c r="J90" i="2"/>
  <c r="J94" i="2" s="1"/>
  <c r="R78" i="2" s="1"/>
  <c r="B90" i="2"/>
  <c r="B94" i="2" s="1"/>
  <c r="J78" i="2" s="1"/>
  <c r="B34" i="2"/>
  <c r="B38" i="2" s="1"/>
  <c r="J22" i="2" s="1"/>
  <c r="B35" i="2"/>
  <c r="B39" i="2" s="1"/>
  <c r="J23" i="2" s="1"/>
  <c r="B33" i="2"/>
  <c r="B37" i="2" s="1"/>
  <c r="J21" i="2" s="1"/>
  <c r="R203" i="2" l="1"/>
  <c r="R259" i="2"/>
  <c r="R140" i="2"/>
  <c r="R252" i="2"/>
  <c r="R250" i="2"/>
  <c r="R194" i="2"/>
  <c r="R195" i="2"/>
  <c r="R207" i="2" s="1"/>
  <c r="R251" i="2"/>
  <c r="R263" i="2" s="1"/>
  <c r="R196" i="2"/>
  <c r="R138" i="2"/>
  <c r="R139" i="2"/>
  <c r="R26" i="2"/>
  <c r="R38" i="2" s="1"/>
  <c r="R27" i="2"/>
  <c r="R39" i="2" s="1"/>
  <c r="R25" i="2"/>
  <c r="R37" i="2" s="1"/>
  <c r="R84" i="2"/>
  <c r="R96" i="2" s="1"/>
  <c r="R82" i="2"/>
  <c r="R94" i="2" s="1"/>
  <c r="R147" i="2"/>
  <c r="R202" i="2"/>
  <c r="R258" i="2"/>
  <c r="R148" i="2"/>
  <c r="R152" i="2" s="1"/>
  <c r="R260" i="2"/>
  <c r="R264" i="2" s="1"/>
  <c r="R146" i="2"/>
  <c r="R150" i="2" s="1"/>
  <c r="R204" i="2"/>
  <c r="R208" i="2" s="1"/>
  <c r="R262" i="2" l="1"/>
  <c r="R206" i="2"/>
  <c r="R151" i="2"/>
</calcChain>
</file>

<file path=xl/sharedStrings.xml><?xml version="1.0" encoding="utf-8"?>
<sst xmlns="http://schemas.openxmlformats.org/spreadsheetml/2006/main" count="575" uniqueCount="139">
  <si>
    <t>SSB with Uniform load</t>
  </si>
  <si>
    <t>Twisted beam problem</t>
  </si>
  <si>
    <t>Clamped-hinged deep circular arch subject to point load.</t>
  </si>
  <si>
    <t>Sno</t>
  </si>
  <si>
    <t>Problem</t>
  </si>
  <si>
    <t>Category</t>
  </si>
  <si>
    <t>Beam under pure moment</t>
  </si>
  <si>
    <t>Linear</t>
  </si>
  <si>
    <t>Geometric NL</t>
  </si>
  <si>
    <t>Cantilever beam with combination of transverse load and torque</t>
  </si>
  <si>
    <t>Dimension</t>
  </si>
  <si>
    <t>Loads</t>
  </si>
  <si>
    <t>Constraints</t>
  </si>
  <si>
    <t>Results</t>
  </si>
  <si>
    <t xml:space="preserve">inputEBC = {'globalNode#': [0],
        'Tx': [0], # T for translation
        'Ty': [0], 
        'Tz': [0],
        'Rx': [0], # R for rotation
        'Ry': [0],
        'Rz': [0]
        }
</t>
  </si>
  <si>
    <t>inputNBC = {'globalNode#': [50],
        'Tx': [-5000_000], # T for translation, force, in Newtons
        'Ty': [0], 
        'Tz': [0],
        'Rx': [0], # R for rotation, moment
        'Ry': [0],
        'Rz': [0]
        }</t>
  </si>
  <si>
    <t>Material</t>
  </si>
  <si>
    <t>inputMatProp = {'E': 210E9, # Youngs modulus, Pa
                'rho': 7850, # density of steel, kg/m^3
                'G': 80E9, # shear modulus, Pa
                'Ks': 1.2E4 # shear correction coefficient, unitless
                }</t>
  </si>
  <si>
    <t>L': 1,   # length of beam, m
'Di': 0.1016, # inner radius of pipe, m, 4 in
'Do': 0.1397, # outer radius of pipe, m, 5.5in
'A1': 0.0381, # area of beam in m^2
'A2': 0.0381, # area of beam in m^2
'A3': 7.199E-3, # cross-sectional area of beam in m^2
'I1': 13.4123E-6, # moment of inertia m^4, pi*(D^4-d^4)/64
'I2': 13.4123E-6, # moment of inertia m^4,  inertia about E2xE2
'J': 26.8246E-6, # polar moment of inertia m^4, pi*(D^4-d^4)/32, inertia about E3xE3, J=I1+I2</t>
  </si>
  <si>
    <t>Ref - Autodesk Fusion 360</t>
  </si>
  <si>
    <t>Ref</t>
  </si>
  <si>
    <t>Comments</t>
  </si>
  <si>
    <t>FEM parameters</t>
  </si>
  <si>
    <t>NEL=50
NNPEL=2
DOFPN = 6
NGQP = 1
iterations = 10
convergence = 1E-5</t>
  </si>
  <si>
    <t>NEL=10
NNPEL=2
DOFPN = 6
NGQP = 1
iterations = 10
convergence = 1E-5</t>
  </si>
  <si>
    <t>inputNBC = {'globalNode#': [10],
        'Tx': [-5000]
        'Ty': [0], 
        'Tz': [0],
        'Rx': [0], 
        'Ry': [0],
        'Rz': [0]
        }</t>
  </si>
  <si>
    <t xml:space="preserve">inputEBC = {'globalNode#': [0],
        'Tx': [0],\
        'Ty': [0], 
        'Tz': [0],
        'Rx': [0],
        'Ry': [0],
        'Rz': [0]
        }
</t>
  </si>
  <si>
    <t>Max delfection
X = -0.5909m, Y=0, Z=0.741m</t>
  </si>
  <si>
    <t>Non linear</t>
  </si>
  <si>
    <t>Deflection at Z=1m
X=-601.24mm, Y=1.233mm, Z=61.812mm</t>
  </si>
  <si>
    <t>Pure bending of cantilever beam</t>
  </si>
  <si>
    <t>L': 1,   # length of beam, m
'D': 0.00373216, # height of beam, m,
'A1': 0.00373216, # area of beam in m^2
'A2': 0.00373216, # area of beam in m^2
'A3': 0.0000109477, # cross-sectional area of beam in m^2
'I1': 9.52380952E-12, # moment of inertia m^4, pi*(D^4-d^4)/64
'I2': 9.52380952E-12, # moment of inertia m^4,  inertia about E2xE2
'J': 1.904761E-11, # polar moment of inertia m^4, pi*(D^4-d^4)/32, inertia about E3xE3, J=I1+I2</t>
  </si>
  <si>
    <t>inputEBC = {'globalNode#': [0],
        'Tx': [0], # T for translation
        'Ty': [0], 
        'Tz': [0],
        'Rx': [0], # R for rotation
        'Ry': [0],
        'Rz': [0]
        }</t>
  </si>
  <si>
    <t>inputNBC = {'globalNode#': [5],
        'Tx': [0], # T for translation, force, in Newtons
        'Ty': [0], 
        'Tz': [0],
        'Rx': [0], # R for rotation, moment
        'Ry': [4*np.pi],
        'Rz': [0]
        }</t>
  </si>
  <si>
    <t>NEL=5
NNPEL=2
DOFPN = 6
NGQP = 1
iterations = 10
convergence = 1E-5</t>
  </si>
  <si>
    <t>Cantilever beam with point load along X direction</t>
  </si>
  <si>
    <t>Cantilever beam with point load along Y direction</t>
  </si>
  <si>
    <t>Cantilever beam with point load along Z direction (axial compression)</t>
  </si>
  <si>
    <t>Cantilever beam with point load along Z direction (axial tension)</t>
  </si>
  <si>
    <t>Buckling: small force at an angle (1/1000 radians) and slowly ramp up the force.</t>
  </si>
  <si>
    <t>Distributed load (gravity)</t>
  </si>
  <si>
    <t>Distributed load</t>
  </si>
  <si>
    <t>Aspect ratio = L/H = 267</t>
  </si>
  <si>
    <t>inputNBC = {'globalNode#': [10],
        'Tx': [0]
        'Ty': [-5000], 
        'Tz': [0],
        'Rx': [0], 
        'Ry': [0],
        'Rz': [0]
        }</t>
  </si>
  <si>
    <t>L': 1,   # length of beam, m
'b': 0.05, # height of beam, m,
'h': 0.05, # heaight of beam m
'A1': 0.05, # area of beam in m^2
'A2': 0.05, # area of beam in m^2
'A3': 0.0025, # cross-sectional area of beam in m^2
'I1': 5.20833E-7, # moment of inertia m^4, pi*(D^4-d^4)/64
'I2': 5.20833E-7, # moment of inertia m^4,  inertia about E2xE2
'J': 1.04166E-6, # polar moment of inertia m^4, pi*(D^4-d^4)/32, inertia about E3xE3, J=I1+I2</t>
  </si>
  <si>
    <t>inputNBC = {'globalNode#': [10],
        'Tx': [0]
        'Ty': [0], 
        'Tz': [-5000],
        'Rx': [0], 
        'Ry': [0],
        'Rz': [0]
        }</t>
  </si>
  <si>
    <t>Deflection at Z=1m
Translation: X = 0 m, Y= 0 m, Z=0.99999048m
Rotation about: X = 0 , Y= 0, Z= 0</t>
  </si>
  <si>
    <t>Load Case #1 Deflection at Z=1m
X= -0.015253 m, Y= 0.000015 m, Z=-0.000573 m</t>
  </si>
  <si>
    <t>inputNBC = {'globalNode#': [10],
        'Tx': [0]
        'Ty': [0], 
        'Tz': [5000],
        'Rx': [0], 
        'Ry': [0],
        'Rz': [0]
        }</t>
  </si>
  <si>
    <t>Deflection at Z=1m
Translation: X = 0 m, Y= 0 m, Z=1.00000952m
Rotation about: X = 0 , Y= 0, Z= 0</t>
  </si>
  <si>
    <t>Load Case #2 Deflection at Z=1m
X= 0.000015 m, Y= -0.015255 m, Z= 0.000572 m</t>
  </si>
  <si>
    <t>Load Case #3 Deflection at Z=1m
X= −1.429E-07 m, Y= −1.429E-07 m, Z= -0.000009</t>
  </si>
  <si>
    <t>Deflection at Z=1m
Translation: X = -0.01520137 m, Y=0, Z=0.99986151m
Rotation about: X = 0, Y=-0.02286116, Z=0</t>
  </si>
  <si>
    <t>3 iterations for E-5 convergence</t>
  </si>
  <si>
    <t>Deflection at Z=1m
Translation: X = 0 m, Y=-0.01520137 m, Z=0.99986151m
Rotation about: X = 0.02286116 , Y= 0, Z= 0</t>
  </si>
  <si>
    <t>1 iteration for E-5 convergence</t>
  </si>
  <si>
    <t>Cantilever beam with point load along X and Y direction</t>
  </si>
  <si>
    <t>inputNBC = {'globalNode#': [10],
        'Tx': [-5000]
        'Ty': [-5000], 
        'Tz': [0],
        'Rx': [0], 
        'Ry': [0],
        'Rz': [0]
        }</t>
  </si>
  <si>
    <t>Non-linear</t>
  </si>
  <si>
    <t>Deflection at Z=1m
Translation: X = -0.01520785 m, Y= -0.01520785 m, Z=0.99972275m
Rotation about: X = 0.02287391 , Y= -0.02287391, Z= 1.78626355e-16</t>
  </si>
  <si>
    <t>Analytical</t>
  </si>
  <si>
    <t xml:space="preserve">1 iteration for E-5 convergence
</t>
  </si>
  <si>
    <t>change in length = FL/EA = 5000*1/210E9*0.0025 = 9.5238E-6</t>
  </si>
  <si>
    <t>change in length = FL/EA = -5000*1/210E9*0.0025 = -9.5238E-6</t>
  </si>
  <si>
    <t>Load Case #4 Deflection at Z=1m
X= +1.429E-07 m, Y= +1.429E-07 m, Z= +0.000009 m</t>
  </si>
  <si>
    <t>Load Case #5 Deflection at Z=1m
X= -0.015238 m m, Y= -0.015239 m, Z= -0.001141 m</t>
  </si>
  <si>
    <t>Nonlinear</t>
  </si>
  <si>
    <t>S0</t>
  </si>
  <si>
    <t>S1</t>
  </si>
  <si>
    <t>gammaGP</t>
  </si>
  <si>
    <t>beta</t>
  </si>
  <si>
    <t>netRotVec</t>
  </si>
  <si>
    <t>netRotVecGP</t>
  </si>
  <si>
    <t>nu</t>
  </si>
  <si>
    <t>nuGP</t>
  </si>
  <si>
    <t>diffNuGP</t>
  </si>
  <si>
    <t>normNu</t>
  </si>
  <si>
    <t>dot(nuGP,diffNuGP)</t>
  </si>
  <si>
    <t>iter=0 elem=0</t>
  </si>
  <si>
    <t>incRotMat</t>
  </si>
  <si>
    <t>xi</t>
  </si>
  <si>
    <t>prevOmega</t>
  </si>
  <si>
    <t>beta term I</t>
  </si>
  <si>
    <t>beta term II</t>
  </si>
  <si>
    <t xml:space="preserve"> beta term III</t>
  </si>
  <si>
    <t>omega</t>
  </si>
  <si>
    <t>phi_oE</t>
  </si>
  <si>
    <t>dphi_oEGP</t>
  </si>
  <si>
    <t>netRotmat</t>
  </si>
  <si>
    <t>iter=0 elem=1</t>
  </si>
  <si>
    <t>newConfig</t>
  </si>
  <si>
    <t>changeConfig</t>
  </si>
  <si>
    <t>iter=1 elem=0</t>
  </si>
  <si>
    <t>iter=2 elem=0</t>
  </si>
  <si>
    <t>iter=0 elem=2</t>
  </si>
  <si>
    <t>iter=0 elem=3</t>
  </si>
  <si>
    <t>iter=0 elem=4</t>
  </si>
  <si>
    <t>inputMatProp = {'E': 210E9, # Youngs modulus, Pa
                'rho': 7850, # density of steel, kg/m^3
                'G': 80E9, # shear modulus, Pa
                'Ks': 1E4 # shear correction coefficient, unitless
                }</t>
  </si>
  <si>
    <t>Analytical equation</t>
  </si>
  <si>
    <t>theta_y</t>
  </si>
  <si>
    <t>L</t>
  </si>
  <si>
    <t>x</t>
  </si>
  <si>
    <t>inputGeom = {'L': 1,   # length of beam, m
        'D': 3.73216E-3, # diameter of rod, m
        'A1': 3.73216E-3, # area of beam in m^2, of plane E1xE1
        'A2': 3.73216E-3, # area of beam in m^2, of plane E2xE2
        'A3': 1.09477E-5, # cross-sectional area of beam in m^2, of plane E3xE3
        'I1': 9.52380952E-12, # moment of inertia m^4, pi*(D^4-d^4)/64, inertia about E1xE1
        'I2': 9.52380952E-12, # moment of inertia m^4, pi*(D^4-d^4)/64, inertia about E2xE2
        'J': 1.904761E-11, # polar moment of inertia m^4, pi*(D^4-d^4)/32, inertia about E3xE3, J=I1+I2
        }</t>
  </si>
  <si>
    <t>inputNBC = {'globalNode#': [100],
        'Tx': [0], # T for translation, force, in Newtons
        'Ty': [0], 
        'Tz': [0],
        'Rx': [0], # R for rotation, moment
        'Ry': [4*np.pi],
        'Rz': [0]
        }</t>
  </si>
  <si>
    <t>NEL=100
NNPEL=2
DOFPN = 6
NGQP = 1
iterations = 10
convergence = 1E-5</t>
  </si>
  <si>
    <t>Pure bending of cantilever beam about Y axis</t>
  </si>
  <si>
    <t>Pure bending of cantilever beam about X and Y axis</t>
  </si>
  <si>
    <t>Deflection_max = PL^3/3EI = 5000*1^3/3*210E9*5.20833E-7 = 0.015238</t>
  </si>
  <si>
    <t>element 1</t>
  </si>
  <si>
    <t>NEL=10
NNPEL=2
DOFPN = 6
NGQP = 1
iterations = 10
convergence = 1E-8
loadsteps = 1</t>
  </si>
  <si>
    <t>Deflection at Z=1m
Translation: X = 0 m, Y= 0 m, Z=0.99999048 m
Rotation about: X = 0 , Y= 0, Z= 0</t>
  </si>
  <si>
    <t>inputGeom = {'L': 1,   # length of beam, m
        'Di': 0.1016, # inner diameter of beam, m, 4in
        'Do': 0.1397, # outer diameter of beam, m, 5.5in
        'A1': 0.0381, # area of beam in m^2, of plane E1xE1
        'A2': 0.0381, # area of beam in m^2, of plane E2xE2
        'A3': 7.199E-3, # cross-sectional area of beam in m^2, of plane E3xE3
        'I1': 13.4123E-6, # moment of inertia m^4, pi*(D^4-d^4)/64, inertia about E1xE1
        'I2': 13.4123E-6, # moment of inertia m^4, pi*(D^4-d^4)/64, inertia about E2xE2
        'J': 26.8246E-6, # polar moment of inertia m^4, pi*(D^4-d^4)/32, inertia about E3xE3, J=I1+I2
        }</t>
  </si>
  <si>
    <t>2 iteration for E-8 convergence per load step</t>
  </si>
  <si>
    <t>Deflection at Z=1m
Translation: X = -0.46057 m, Y=0, Z=0.86375m
Rotation about: X = 0, Y = -0.722789,, Z=0</t>
  </si>
  <si>
    <t xml:space="preserve">13 iterations for E-5 convergence. </t>
  </si>
  <si>
    <t>NEL=50
NNPEL=2
DOFPN = 6
NGQP = 1
iterations = 15
convergence = 1E-8
loadsteps = 2</t>
  </si>
  <si>
    <t>Deflection at Z=1m
Translation: X = -0.0151964 m, Y=0, Z= 0.9998617 m
Rotation about: X = 0, Y=-0.0228528186, Z=0</t>
  </si>
  <si>
    <t>6 iterations for E-5 convergence</t>
  </si>
  <si>
    <t>Deflection_max = PL^3/3EI = 5000_000*1^3/3*210E9*13.4123E-6 = 0.59173 m (linear)</t>
  </si>
  <si>
    <t>Deflection at Z=1m
Translation: X = 0 m, Y= -0.0151964 m, Z=0.999861758m
Rotation about: X = 0.02285281686 , Y= 0, Z= 0</t>
  </si>
  <si>
    <t>NEL=10
NNPEL=2
DOFPN = 6
NGQP = 1
iterations = 10
convergence = 1E-5
loadsteps = 1</t>
  </si>
  <si>
    <t>NEL=10
NNPEL=2
DOFPN = 6
NGQP = 1
iterations = 10
convergence = 1E-5
loadsteps = 5</t>
  </si>
  <si>
    <t>Deflection at Z=1m
Translation: X = -0.015192817 m, Y = -0.015192818 m, Z = 0.999723606m
Rotation about: X = 0.0228484867 , Y =  -0.022848484, Z = -0.4418852e-9</t>
  </si>
  <si>
    <t>5 iterations for E-5 convergence</t>
  </si>
  <si>
    <t>NEL=100
NNPEL=2
DOFPN = 6
NGQP=1
iterations = 10
convergence = 1E-5
loadSteps = 1</t>
  </si>
  <si>
    <t>Aspect ratio = L/H = 267
Some discontinuities present- not a perfect solution. Couple of nodes at the fixed end overlap with a few nodes from the free end. Circle formed only at this specific input. Why?
4 iterations for E-5 convergence.</t>
  </si>
  <si>
    <t>Deflection at Z=1m
Translation: X = -0.001288094 m, Y= 0 m, Z=0.02087423m
Rotation about: X = 0 , Y= 0.00748918, Z= 0</t>
  </si>
  <si>
    <t>Pure bending of cantilever beam about X axis</t>
  </si>
  <si>
    <t>inputNBC = {'globalNode#': [100],
        'Tx': [0], # T for translation, force, in Newtons
        'Ty': [0], 
        'Tz': [0],
        'Rx': [4*np.pi], # R for rotation, moment
        'Ry': [0],
        'Rz': [0]
        }</t>
  </si>
  <si>
    <t>Aspect ratio = L/H = 267
Some discontinuities present- not a perfect solution. Circle formed only at this specific input. Why?
4 iterations for E-5 convergence.</t>
  </si>
  <si>
    <t>Deflection at Z=1m
Translation: X = 0 m, Y= 0.0012899782 m, Z=0.02087442m
Rotation about: X = 0.00743815 , Y= 0, Z= 0</t>
  </si>
  <si>
    <t>inputNBC = {'globalNode#': [100],
        'Tx': [0], # T for translation, force, in Newtons
        'Ty': [0], 
        'Tz': [0],
        'Rx': [4*np.pi/np.sqrt(2)], # R for rotation, moment
        'Ry': [4*np.pi/np.sqrt(2)],
        'Rz': [0]
        }</t>
  </si>
  <si>
    <t>Twisting of cantilever beam (about Z axis)</t>
  </si>
  <si>
    <t>inputNBC = {'globalNode#': [100],
        'Tx': [0], # T for translation, force, in Newtons
        'Ty': [0], 
        'Tz': [0],
        'Rx': [0], # R for rotation, moment
        'Ry': [0],
        'Rz': [1.1967966328888697]
        }</t>
  </si>
  <si>
    <t>NEL=10
NNPEL=2
DOFPN = 6
NGQP=1
iterations = 10
convergence = 1E-5
loadSteps = 1</t>
  </si>
  <si>
    <t>Twist angle = TL/GJ = 1.1967966328888697*1/80E9*1.904761E-11 = np.pi/4 = 0.7853981633974483 rad = 45 deg</t>
  </si>
  <si>
    <t>Deflection at Z=1m
Translation: X = 0 m, Y= 0 m, Z= 0
Rotation about: X = 0.00743815 , Y= 0, Z= 0.7853981633974486 rad</t>
  </si>
  <si>
    <t>2 iterations for E-5 convergence</t>
  </si>
  <si>
    <t>Twist angle = TL/GJ = 95.74373063110957*1/80E9*1.904761E-11 = np.pi * 20= 3600 deg = 10 wraps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</si>
</sst>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0000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name val="Menlo"/>
      <family val="2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9" fontId="3" fillId="0" borderId="0" xfId="0" applyNumberFormat="1" applyFont="1"/>
    <xf numFmtId="179" fontId="3" fillId="2" borderId="0" xfId="0" applyNumberFormat="1" applyFont="1" applyFill="1"/>
    <xf numFmtId="179" fontId="3" fillId="3" borderId="0" xfId="0" applyNumberFormat="1" applyFont="1" applyFill="1"/>
    <xf numFmtId="0" fontId="4" fillId="0" borderId="0" xfId="0" applyFont="1"/>
    <xf numFmtId="179" fontId="3" fillId="4" borderId="0" xfId="0" applyNumberFormat="1" applyFont="1" applyFill="1"/>
    <xf numFmtId="179" fontId="3" fillId="5" borderId="0" xfId="0" applyNumberFormat="1" applyFont="1" applyFill="1"/>
    <xf numFmtId="179" fontId="3" fillId="0" borderId="0" xfId="0" applyNumberFormat="1" applyFont="1" applyFill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B9E2-6713-C649-B8C0-96D0E5033C84}">
  <dimension ref="A1:M28"/>
  <sheetViews>
    <sheetView tabSelected="1" zoomScale="90" zoomScaleNormal="90" workbookViewId="0">
      <pane xSplit="2" ySplit="1" topLeftCell="F10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baseColWidth="10" defaultRowHeight="16" x14ac:dyDescent="0.2"/>
  <cols>
    <col min="1" max="1" width="10.83203125" style="1"/>
    <col min="2" max="2" width="23.83203125" style="3" customWidth="1"/>
    <col min="3" max="3" width="12.1640625" style="1" customWidth="1"/>
    <col min="4" max="4" width="62.1640625" style="1" customWidth="1"/>
    <col min="5" max="5" width="30.5" style="1" customWidth="1"/>
    <col min="6" max="6" width="19.5" style="1" customWidth="1"/>
    <col min="7" max="7" width="28.5" style="1" customWidth="1"/>
    <col min="8" max="8" width="17.33203125" style="1" customWidth="1"/>
    <col min="9" max="9" width="29.1640625" style="3" customWidth="1"/>
    <col min="10" max="11" width="32.1640625" style="1" customWidth="1"/>
    <col min="12" max="12" width="10.83203125" style="1"/>
    <col min="13" max="13" width="26.83203125" style="1" customWidth="1"/>
    <col min="14" max="16384" width="10.83203125" style="1"/>
  </cols>
  <sheetData>
    <row r="1" spans="1:13" s="3" customFormat="1" ht="17" x14ac:dyDescent="0.2">
      <c r="A1" s="3" t="s">
        <v>3</v>
      </c>
      <c r="B1" s="3" t="s">
        <v>4</v>
      </c>
      <c r="C1" s="3" t="s">
        <v>5</v>
      </c>
      <c r="D1" s="3" t="s">
        <v>10</v>
      </c>
      <c r="E1" s="3" t="s">
        <v>16</v>
      </c>
      <c r="F1" s="3" t="s">
        <v>12</v>
      </c>
      <c r="G1" s="3" t="s">
        <v>11</v>
      </c>
      <c r="H1" s="3" t="s">
        <v>22</v>
      </c>
      <c r="I1" s="3" t="s">
        <v>13</v>
      </c>
      <c r="J1" s="3" t="s">
        <v>19</v>
      </c>
      <c r="K1" s="3" t="s">
        <v>60</v>
      </c>
      <c r="L1" s="3" t="s">
        <v>20</v>
      </c>
      <c r="M1" s="3" t="s">
        <v>21</v>
      </c>
    </row>
    <row r="2" spans="1:13" s="14" customFormat="1" ht="221" x14ac:dyDescent="0.2">
      <c r="A2" s="14">
        <v>1</v>
      </c>
      <c r="B2" s="15" t="s">
        <v>35</v>
      </c>
      <c r="C2" s="14" t="s">
        <v>58</v>
      </c>
      <c r="D2" s="16" t="s">
        <v>111</v>
      </c>
      <c r="E2" s="16" t="s">
        <v>17</v>
      </c>
      <c r="F2" s="14" t="s">
        <v>14</v>
      </c>
      <c r="G2" s="14" t="s">
        <v>15</v>
      </c>
      <c r="H2" s="14" t="s">
        <v>115</v>
      </c>
      <c r="I2" s="12" t="s">
        <v>113</v>
      </c>
      <c r="J2" s="14" t="s">
        <v>29</v>
      </c>
      <c r="K2" s="11" t="s">
        <v>118</v>
      </c>
      <c r="L2" s="15"/>
      <c r="M2" s="14" t="s">
        <v>114</v>
      </c>
    </row>
    <row r="3" spans="1:13" s="14" customFormat="1" ht="187" x14ac:dyDescent="0.2">
      <c r="A3" s="14">
        <v>2</v>
      </c>
      <c r="B3" s="15" t="s">
        <v>35</v>
      </c>
      <c r="C3" s="14" t="s">
        <v>7</v>
      </c>
      <c r="D3" s="16" t="s">
        <v>44</v>
      </c>
      <c r="E3" s="16" t="s">
        <v>17</v>
      </c>
      <c r="F3" s="14" t="s">
        <v>26</v>
      </c>
      <c r="G3" s="14" t="s">
        <v>25</v>
      </c>
      <c r="H3" s="1" t="s">
        <v>120</v>
      </c>
      <c r="I3" s="15" t="s">
        <v>116</v>
      </c>
      <c r="J3" s="14" t="s">
        <v>47</v>
      </c>
      <c r="K3" s="14" t="s">
        <v>107</v>
      </c>
      <c r="M3" s="14" t="s">
        <v>117</v>
      </c>
    </row>
    <row r="4" spans="1:13" s="14" customFormat="1" ht="187" x14ac:dyDescent="0.2">
      <c r="A4" s="14">
        <v>3</v>
      </c>
      <c r="B4" s="15" t="s">
        <v>36</v>
      </c>
      <c r="C4" s="14" t="s">
        <v>7</v>
      </c>
      <c r="D4" s="16" t="s">
        <v>44</v>
      </c>
      <c r="E4" s="16" t="s">
        <v>17</v>
      </c>
      <c r="F4" s="14" t="s">
        <v>26</v>
      </c>
      <c r="G4" s="14" t="s">
        <v>43</v>
      </c>
      <c r="H4" s="1" t="s">
        <v>120</v>
      </c>
      <c r="I4" s="15" t="s">
        <v>119</v>
      </c>
      <c r="J4" s="14" t="s">
        <v>50</v>
      </c>
      <c r="K4" s="14" t="s">
        <v>107</v>
      </c>
      <c r="M4" s="14" t="s">
        <v>117</v>
      </c>
    </row>
    <row r="5" spans="1:13" ht="187" x14ac:dyDescent="0.2">
      <c r="A5" s="1">
        <v>4</v>
      </c>
      <c r="B5" s="3" t="s">
        <v>37</v>
      </c>
      <c r="C5" s="1" t="s">
        <v>7</v>
      </c>
      <c r="D5" s="2" t="s">
        <v>44</v>
      </c>
      <c r="E5" s="2" t="s">
        <v>17</v>
      </c>
      <c r="F5" s="1" t="s">
        <v>26</v>
      </c>
      <c r="G5" s="1" t="s">
        <v>45</v>
      </c>
      <c r="H5" s="1" t="s">
        <v>109</v>
      </c>
      <c r="I5" s="3" t="s">
        <v>110</v>
      </c>
      <c r="J5" s="1" t="s">
        <v>51</v>
      </c>
      <c r="K5" s="1" t="s">
        <v>63</v>
      </c>
      <c r="M5" s="1" t="s">
        <v>112</v>
      </c>
    </row>
    <row r="6" spans="1:13" ht="187" x14ac:dyDescent="0.2">
      <c r="A6" s="1">
        <v>5</v>
      </c>
      <c r="B6" s="3" t="s">
        <v>38</v>
      </c>
      <c r="C6" s="1" t="s">
        <v>7</v>
      </c>
      <c r="D6" s="2" t="s">
        <v>44</v>
      </c>
      <c r="E6" s="2" t="s">
        <v>17</v>
      </c>
      <c r="F6" s="1" t="s">
        <v>26</v>
      </c>
      <c r="G6" s="1" t="s">
        <v>48</v>
      </c>
      <c r="H6" s="1" t="s">
        <v>109</v>
      </c>
      <c r="I6" s="3" t="s">
        <v>49</v>
      </c>
      <c r="J6" s="1" t="s">
        <v>64</v>
      </c>
      <c r="K6" s="1" t="s">
        <v>62</v>
      </c>
      <c r="M6" s="1" t="s">
        <v>112</v>
      </c>
    </row>
    <row r="7" spans="1:13" s="14" customFormat="1" ht="187" x14ac:dyDescent="0.2">
      <c r="A7" s="14">
        <v>6</v>
      </c>
      <c r="B7" s="15" t="s">
        <v>56</v>
      </c>
      <c r="C7" s="14" t="s">
        <v>58</v>
      </c>
      <c r="D7" s="16" t="s">
        <v>44</v>
      </c>
      <c r="E7" s="16" t="s">
        <v>17</v>
      </c>
      <c r="F7" s="14" t="s">
        <v>26</v>
      </c>
      <c r="G7" s="14" t="s">
        <v>57</v>
      </c>
      <c r="H7" s="14" t="s">
        <v>121</v>
      </c>
      <c r="I7" s="15" t="s">
        <v>122</v>
      </c>
      <c r="J7" s="14" t="s">
        <v>65</v>
      </c>
      <c r="K7" s="14" t="s">
        <v>107</v>
      </c>
      <c r="M7" s="14" t="s">
        <v>123</v>
      </c>
    </row>
    <row r="8" spans="1:13" s="11" customFormat="1" ht="204" x14ac:dyDescent="0.2">
      <c r="A8" s="14">
        <v>7</v>
      </c>
      <c r="B8" s="15" t="s">
        <v>105</v>
      </c>
      <c r="C8" s="14" t="s">
        <v>58</v>
      </c>
      <c r="D8" s="16" t="s">
        <v>102</v>
      </c>
      <c r="E8" s="16" t="s">
        <v>97</v>
      </c>
      <c r="F8" s="14" t="s">
        <v>32</v>
      </c>
      <c r="G8" s="14" t="s">
        <v>103</v>
      </c>
      <c r="H8" s="14" t="s">
        <v>124</v>
      </c>
      <c r="I8" s="12" t="s">
        <v>126</v>
      </c>
      <c r="M8" s="11" t="s">
        <v>125</v>
      </c>
    </row>
    <row r="9" spans="1:13" ht="204" x14ac:dyDescent="0.2">
      <c r="A9" s="1">
        <v>8</v>
      </c>
      <c r="B9" s="3" t="s">
        <v>127</v>
      </c>
      <c r="C9" s="1" t="s">
        <v>58</v>
      </c>
      <c r="D9" s="2" t="s">
        <v>102</v>
      </c>
      <c r="E9" s="2" t="s">
        <v>97</v>
      </c>
      <c r="F9" s="1" t="s">
        <v>32</v>
      </c>
      <c r="G9" s="14" t="s">
        <v>128</v>
      </c>
      <c r="H9" s="14" t="s">
        <v>124</v>
      </c>
      <c r="I9" s="12" t="s">
        <v>130</v>
      </c>
      <c r="M9" s="11" t="s">
        <v>129</v>
      </c>
    </row>
    <row r="10" spans="1:13" s="14" customFormat="1" ht="204" x14ac:dyDescent="0.2">
      <c r="A10" s="14">
        <v>9</v>
      </c>
      <c r="B10" s="15" t="s">
        <v>132</v>
      </c>
      <c r="C10" s="14" t="s">
        <v>7</v>
      </c>
      <c r="D10" s="16" t="s">
        <v>102</v>
      </c>
      <c r="E10" s="16" t="s">
        <v>97</v>
      </c>
      <c r="F10" s="14" t="s">
        <v>32</v>
      </c>
      <c r="G10" s="14" t="s">
        <v>133</v>
      </c>
      <c r="H10" s="14" t="s">
        <v>134</v>
      </c>
      <c r="I10" s="15" t="s">
        <v>136</v>
      </c>
      <c r="K10" s="14" t="s">
        <v>135</v>
      </c>
      <c r="M10" s="14" t="s">
        <v>137</v>
      </c>
    </row>
    <row r="11" spans="1:13" s="11" customFormat="1" ht="204" x14ac:dyDescent="0.2">
      <c r="A11" s="11">
        <v>10</v>
      </c>
      <c r="B11" s="12" t="s">
        <v>132</v>
      </c>
      <c r="C11" s="11" t="s">
        <v>58</v>
      </c>
      <c r="D11" s="13" t="s">
        <v>102</v>
      </c>
      <c r="E11" s="13" t="s">
        <v>97</v>
      </c>
      <c r="F11" s="11" t="s">
        <v>32</v>
      </c>
      <c r="G11" s="11" t="s">
        <v>133</v>
      </c>
      <c r="H11" s="11" t="s">
        <v>134</v>
      </c>
      <c r="I11" s="12" t="s">
        <v>136</v>
      </c>
      <c r="K11" s="14" t="s">
        <v>138</v>
      </c>
    </row>
    <row r="12" spans="1:13" s="11" customFormat="1" ht="204" x14ac:dyDescent="0.2">
      <c r="B12" s="12" t="s">
        <v>106</v>
      </c>
      <c r="C12" s="11" t="s">
        <v>58</v>
      </c>
      <c r="D12" s="13" t="s">
        <v>102</v>
      </c>
      <c r="E12" s="13" t="s">
        <v>97</v>
      </c>
      <c r="F12" s="11" t="s">
        <v>32</v>
      </c>
      <c r="G12" s="11" t="s">
        <v>131</v>
      </c>
      <c r="H12" s="11" t="s">
        <v>124</v>
      </c>
      <c r="I12" s="12"/>
    </row>
    <row r="13" spans="1:13" x14ac:dyDescent="0.2">
      <c r="D13" s="2"/>
      <c r="E13" s="2"/>
    </row>
    <row r="14" spans="1:13" x14ac:dyDescent="0.2">
      <c r="D14" s="2"/>
      <c r="E14" s="2"/>
    </row>
    <row r="15" spans="1:13" ht="204" x14ac:dyDescent="0.2">
      <c r="B15" s="3" t="s">
        <v>30</v>
      </c>
      <c r="D15" s="2" t="s">
        <v>102</v>
      </c>
      <c r="E15" s="2" t="s">
        <v>97</v>
      </c>
      <c r="F15" s="1" t="s">
        <v>32</v>
      </c>
      <c r="G15" s="1" t="s">
        <v>103</v>
      </c>
      <c r="H15" s="1" t="s">
        <v>104</v>
      </c>
      <c r="M15" s="1" t="s">
        <v>42</v>
      </c>
    </row>
    <row r="16" spans="1:13" ht="55" customHeight="1" x14ac:dyDescent="0.2"/>
    <row r="19" spans="2:3" ht="52" customHeight="1" x14ac:dyDescent="0.2">
      <c r="B19" s="3" t="s">
        <v>39</v>
      </c>
    </row>
    <row r="20" spans="2:3" ht="17" x14ac:dyDescent="0.2">
      <c r="B20" s="3" t="s">
        <v>40</v>
      </c>
    </row>
    <row r="21" spans="2:3" ht="17" x14ac:dyDescent="0.2">
      <c r="B21" s="3" t="s">
        <v>41</v>
      </c>
    </row>
    <row r="24" spans="2:3" ht="17" x14ac:dyDescent="0.2">
      <c r="B24" s="3" t="s">
        <v>0</v>
      </c>
      <c r="C24" s="1" t="s">
        <v>7</v>
      </c>
    </row>
    <row r="26" spans="2:3" ht="34" x14ac:dyDescent="0.2">
      <c r="B26" s="3" t="s">
        <v>1</v>
      </c>
      <c r="C26" s="1" t="s">
        <v>8</v>
      </c>
    </row>
    <row r="27" spans="2:3" ht="51" x14ac:dyDescent="0.2">
      <c r="B27" s="3" t="s">
        <v>2</v>
      </c>
      <c r="C27" s="1" t="s">
        <v>8</v>
      </c>
    </row>
    <row r="28" spans="2:3" ht="51" x14ac:dyDescent="0.2">
      <c r="B28" s="3" t="s">
        <v>9</v>
      </c>
      <c r="C28" s="1" t="s">
        <v>8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D50C-4F7B-BF48-BCFB-2C17326E11AD}">
  <dimension ref="A1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0BFC-8C1C-484C-961B-098EA07BD14C}">
  <dimension ref="A1:AJ306"/>
  <sheetViews>
    <sheetView topLeftCell="A260" workbookViewId="0">
      <selection activeCell="I312" sqref="I312"/>
    </sheetView>
  </sheetViews>
  <sheetFormatPr baseColWidth="10" defaultRowHeight="16" x14ac:dyDescent="0.2"/>
  <cols>
    <col min="1" max="1" width="17.33203125" style="4" customWidth="1"/>
    <col min="2" max="5" width="14.33203125" style="4" customWidth="1"/>
    <col min="6" max="6" width="18.1640625" style="4" customWidth="1"/>
    <col min="7" max="7" width="14.33203125" style="4" customWidth="1"/>
    <col min="8" max="9" width="10.83203125" style="4"/>
    <col min="10" max="15" width="14.33203125" style="4" bestFit="1" customWidth="1"/>
    <col min="16" max="17" width="10.83203125" style="4"/>
    <col min="18" max="18" width="14.6640625" style="4" bestFit="1" customWidth="1"/>
    <col min="19" max="19" width="14.33203125" style="4" bestFit="1" customWidth="1"/>
    <col min="20" max="20" width="14.6640625" style="4" bestFit="1" customWidth="1"/>
    <col min="21" max="23" width="14.33203125" style="4" bestFit="1" customWidth="1"/>
    <col min="24" max="25" width="10.83203125" style="4"/>
    <col min="26" max="31" width="14.33203125" style="4" bestFit="1" customWidth="1"/>
    <col min="32" max="33" width="10.83203125" style="4"/>
    <col min="34" max="36" width="14.33203125" style="4" bestFit="1" customWidth="1"/>
    <col min="37" max="37" width="13.6640625" style="4" bestFit="1" customWidth="1"/>
    <col min="38" max="39" width="14.33203125" style="4" bestFit="1" customWidth="1"/>
    <col min="40" max="16384" width="10.83203125" style="4"/>
  </cols>
  <sheetData>
    <row r="1" spans="1:23" s="6" customFormat="1" x14ac:dyDescent="0.2">
      <c r="A1" s="6" t="s">
        <v>78</v>
      </c>
      <c r="I1" s="6" t="s">
        <v>92</v>
      </c>
      <c r="Q1" s="6" t="s">
        <v>93</v>
      </c>
    </row>
    <row r="2" spans="1:23" x14ac:dyDescent="0.2">
      <c r="A2" s="4" t="s">
        <v>67</v>
      </c>
      <c r="B2" s="4">
        <v>0.5</v>
      </c>
      <c r="C2" s="4">
        <v>0.5</v>
      </c>
      <c r="I2" s="4" t="s">
        <v>67</v>
      </c>
      <c r="J2" s="4">
        <v>0.5</v>
      </c>
      <c r="K2" s="4">
        <v>0.5</v>
      </c>
      <c r="Q2" s="4" t="s">
        <v>67</v>
      </c>
      <c r="R2" s="4">
        <v>0.5</v>
      </c>
      <c r="S2" s="4">
        <v>0.5</v>
      </c>
    </row>
    <row r="3" spans="1:23" x14ac:dyDescent="0.2">
      <c r="A3" s="4" t="s">
        <v>68</v>
      </c>
      <c r="B3" s="4">
        <v>-5</v>
      </c>
      <c r="C3" s="4">
        <v>5</v>
      </c>
      <c r="I3" s="4" t="s">
        <v>68</v>
      </c>
      <c r="J3" s="4">
        <v>-5</v>
      </c>
      <c r="K3" s="4">
        <v>5</v>
      </c>
      <c r="Q3" s="4" t="s">
        <v>68</v>
      </c>
      <c r="R3" s="4">
        <v>-5</v>
      </c>
      <c r="S3" s="4">
        <v>5</v>
      </c>
    </row>
    <row r="5" spans="1:23" x14ac:dyDescent="0.2">
      <c r="A5" s="4" t="s">
        <v>71</v>
      </c>
      <c r="B5" s="4">
        <v>0</v>
      </c>
      <c r="C5" s="4">
        <v>0</v>
      </c>
      <c r="D5" s="4" t="s">
        <v>73</v>
      </c>
      <c r="E5" s="4">
        <v>0</v>
      </c>
      <c r="F5" s="4">
        <v>0</v>
      </c>
      <c r="I5" s="4" t="s">
        <v>71</v>
      </c>
      <c r="J5" s="4">
        <f>B294</f>
        <v>0</v>
      </c>
      <c r="K5" s="4">
        <f>C294</f>
        <v>0</v>
      </c>
      <c r="L5" s="4" t="s">
        <v>73</v>
      </c>
      <c r="M5" s="4">
        <f>B287</f>
        <v>0</v>
      </c>
      <c r="N5" s="4">
        <f>C287</f>
        <v>0</v>
      </c>
      <c r="Q5" s="4" t="s">
        <v>71</v>
      </c>
      <c r="R5" s="4">
        <f>J294</f>
        <v>0</v>
      </c>
      <c r="S5" s="4">
        <f>K294</f>
        <v>0</v>
      </c>
      <c r="T5" s="4" t="s">
        <v>73</v>
      </c>
      <c r="U5" s="4">
        <f>J287</f>
        <v>0</v>
      </c>
      <c r="V5" s="4">
        <f>K287</f>
        <v>0</v>
      </c>
    </row>
    <row r="6" spans="1:23" x14ac:dyDescent="0.2">
      <c r="B6" s="4">
        <v>0</v>
      </c>
      <c r="C6" s="4">
        <v>0</v>
      </c>
      <c r="E6" s="4">
        <v>0</v>
      </c>
      <c r="F6" s="4">
        <v>0</v>
      </c>
      <c r="J6" s="4">
        <f t="shared" ref="J6:K7" si="0">B295</f>
        <v>0</v>
      </c>
      <c r="K6" s="4">
        <f t="shared" si="0"/>
        <v>1.2563978</v>
      </c>
      <c r="M6" s="4">
        <f t="shared" ref="M6:N7" si="1">B288</f>
        <v>0</v>
      </c>
      <c r="N6" s="4">
        <f t="shared" si="1"/>
        <v>1.2563978</v>
      </c>
      <c r="R6" s="4">
        <f t="shared" ref="R6:R7" si="2">J295</f>
        <v>0</v>
      </c>
      <c r="S6" s="4">
        <f t="shared" ref="S6:S7" si="3">K295</f>
        <v>1.2563943399999999</v>
      </c>
      <c r="U6" s="4">
        <f t="shared" ref="U6:U7" si="4">J288</f>
        <v>0</v>
      </c>
      <c r="V6" s="4">
        <f t="shared" ref="V6:V7" si="5">K288</f>
        <v>-3.4567873000000002E-6</v>
      </c>
    </row>
    <row r="7" spans="1:23" x14ac:dyDescent="0.2">
      <c r="B7" s="4">
        <v>0</v>
      </c>
      <c r="C7" s="4">
        <v>0</v>
      </c>
      <c r="E7" s="4">
        <v>0</v>
      </c>
      <c r="F7" s="4">
        <v>0</v>
      </c>
      <c r="J7" s="4">
        <f t="shared" si="0"/>
        <v>0</v>
      </c>
      <c r="K7" s="4">
        <f t="shared" si="0"/>
        <v>0</v>
      </c>
      <c r="M7" s="4">
        <f t="shared" si="1"/>
        <v>0</v>
      </c>
      <c r="N7" s="4">
        <f t="shared" si="1"/>
        <v>0</v>
      </c>
      <c r="R7" s="4">
        <f t="shared" si="2"/>
        <v>0</v>
      </c>
      <c r="S7" s="4">
        <f t="shared" si="3"/>
        <v>0</v>
      </c>
      <c r="U7" s="4">
        <f t="shared" si="4"/>
        <v>0</v>
      </c>
      <c r="V7" s="4">
        <f t="shared" si="5"/>
        <v>0</v>
      </c>
    </row>
    <row r="9" spans="1:23" x14ac:dyDescent="0.2">
      <c r="A9" s="4" t="s">
        <v>72</v>
      </c>
      <c r="B9" s="4">
        <f>B5*$B$2+C5*$C$2</f>
        <v>0</v>
      </c>
      <c r="D9" s="4" t="s">
        <v>74</v>
      </c>
      <c r="E9" s="4">
        <f>E5*$B$2+F5*$C$2</f>
        <v>0</v>
      </c>
      <c r="F9" s="4" t="s">
        <v>75</v>
      </c>
      <c r="G9" s="4">
        <f>E5*$B$3+F5*$C$3</f>
        <v>0</v>
      </c>
      <c r="I9" s="4" t="s">
        <v>72</v>
      </c>
      <c r="J9" s="4">
        <f>J5*$B$2+K5*$C$2</f>
        <v>0</v>
      </c>
      <c r="L9" s="4" t="s">
        <v>74</v>
      </c>
      <c r="M9" s="4">
        <f>M5*$B$2+N5*$C$2</f>
        <v>0</v>
      </c>
      <c r="N9" s="4" t="s">
        <v>75</v>
      </c>
      <c r="O9" s="4">
        <f>M5*$B$3+N5*$C$3</f>
        <v>0</v>
      </c>
      <c r="Q9" s="4" t="s">
        <v>72</v>
      </c>
      <c r="R9" s="4">
        <f>R5*$B$2+S5*$C$2</f>
        <v>0</v>
      </c>
      <c r="T9" s="4" t="s">
        <v>74</v>
      </c>
      <c r="U9" s="4">
        <f>U5*$B$2+V5*$C$2</f>
        <v>0</v>
      </c>
      <c r="V9" s="4" t="s">
        <v>75</v>
      </c>
      <c r="W9" s="4">
        <f>U5*$B$3+V5*$C$3</f>
        <v>0</v>
      </c>
    </row>
    <row r="10" spans="1:23" x14ac:dyDescent="0.2">
      <c r="B10" s="4">
        <f t="shared" ref="B10:B11" si="6">B6*$B$2+C6*$C$2</f>
        <v>0</v>
      </c>
      <c r="E10" s="4">
        <f>E6*$B$2+F6*$C$2</f>
        <v>0</v>
      </c>
      <c r="G10" s="4">
        <f>E6*$B$3+F6*$C$3</f>
        <v>0</v>
      </c>
      <c r="J10" s="4">
        <f t="shared" ref="J10:J11" si="7">J6*$B$2+K6*$C$2</f>
        <v>0.6281989</v>
      </c>
      <c r="M10" s="4">
        <f>M6*$B$2+N6*$C$2</f>
        <v>0.6281989</v>
      </c>
      <c r="O10" s="4">
        <f>M6*$B$3+N6*$C$3</f>
        <v>6.2819890000000003</v>
      </c>
      <c r="R10" s="4">
        <f t="shared" ref="R10:R11" si="8">R6*$B$2+S6*$C$2</f>
        <v>0.62819716999999997</v>
      </c>
      <c r="U10" s="4">
        <f>U6*$B$2+V6*$C$2</f>
        <v>-1.7283936500000001E-6</v>
      </c>
      <c r="W10" s="4">
        <f>U6*$B$3+V6*$C$3</f>
        <v>-1.7283936500000002E-5</v>
      </c>
    </row>
    <row r="11" spans="1:23" x14ac:dyDescent="0.2">
      <c r="B11" s="4">
        <f t="shared" si="6"/>
        <v>0</v>
      </c>
      <c r="E11" s="4">
        <f>E7*$B$2+F7*$C$2</f>
        <v>0</v>
      </c>
      <c r="G11" s="4">
        <f>E7*$B$3+F7*$C$3</f>
        <v>0</v>
      </c>
      <c r="J11" s="4">
        <f t="shared" si="7"/>
        <v>0</v>
      </c>
      <c r="M11" s="4">
        <f>M7*$B$2+N7*$C$2</f>
        <v>0</v>
      </c>
      <c r="O11" s="4">
        <f>M7*$B$3+N7*$C$3</f>
        <v>0</v>
      </c>
      <c r="R11" s="4">
        <f t="shared" si="8"/>
        <v>0</v>
      </c>
      <c r="U11" s="4">
        <f>U7*$B$2+V7*$C$2</f>
        <v>0</v>
      </c>
      <c r="W11" s="4">
        <f>U7*$B$3+V7*$C$3</f>
        <v>0</v>
      </c>
    </row>
    <row r="13" spans="1:23" x14ac:dyDescent="0.2">
      <c r="A13" s="4" t="s">
        <v>76</v>
      </c>
      <c r="B13" s="4">
        <f>SQRT(E9^2+E10^2+E11^2)</f>
        <v>0</v>
      </c>
      <c r="I13" s="4" t="s">
        <v>76</v>
      </c>
      <c r="J13" s="4">
        <f>SQRT(M9^2+M10^2+M11^2)</f>
        <v>0.6281989</v>
      </c>
      <c r="Q13" s="4" t="s">
        <v>76</v>
      </c>
      <c r="R13" s="4">
        <f>SQRT(U9^2+U10^2+U11^2)</f>
        <v>1.7283936500000001E-6</v>
      </c>
    </row>
    <row r="15" spans="1:23" x14ac:dyDescent="0.2">
      <c r="A15" s="4" t="s">
        <v>77</v>
      </c>
      <c r="B15" s="4">
        <f>E9*G9+E10*G10+E11*G11</f>
        <v>0</v>
      </c>
      <c r="I15" s="4" t="s">
        <v>77</v>
      </c>
      <c r="J15" s="4">
        <f>M9*O9+M10*O10+M11*O11</f>
        <v>3.9463385796121</v>
      </c>
      <c r="Q15" s="4" t="s">
        <v>77</v>
      </c>
      <c r="R15" s="4">
        <f>U9*W9+U10*W10+U11*W11</f>
        <v>2.987344609360323E-11</v>
      </c>
    </row>
    <row r="17" spans="1:36" x14ac:dyDescent="0.2">
      <c r="A17" s="5" t="s">
        <v>79</v>
      </c>
      <c r="B17" s="5">
        <v>1</v>
      </c>
      <c r="C17" s="5">
        <v>0</v>
      </c>
      <c r="D17" s="5">
        <v>0</v>
      </c>
      <c r="I17" s="5" t="s">
        <v>79</v>
      </c>
      <c r="J17" s="5">
        <v>0.80908922999999999</v>
      </c>
      <c r="K17" s="5">
        <v>0</v>
      </c>
      <c r="L17" s="5">
        <v>0.58768582000000003</v>
      </c>
      <c r="Q17" s="5" t="s">
        <v>79</v>
      </c>
      <c r="R17" s="5">
        <v>1</v>
      </c>
      <c r="S17" s="5">
        <v>0</v>
      </c>
      <c r="T17" s="5">
        <v>-1.72839E-6</v>
      </c>
      <c r="Y17" s="5"/>
      <c r="Z17" s="5"/>
      <c r="AA17" s="5"/>
      <c r="AB17" s="5"/>
      <c r="AG17" s="5"/>
      <c r="AH17" s="5"/>
      <c r="AI17" s="5"/>
      <c r="AJ17" s="5"/>
    </row>
    <row r="18" spans="1:36" x14ac:dyDescent="0.2">
      <c r="A18" s="5"/>
      <c r="B18" s="5">
        <v>0</v>
      </c>
      <c r="C18" s="5">
        <v>1</v>
      </c>
      <c r="D18" s="5">
        <v>0</v>
      </c>
      <c r="I18" s="5"/>
      <c r="J18" s="5">
        <v>0</v>
      </c>
      <c r="K18" s="5">
        <v>1</v>
      </c>
      <c r="L18" s="5">
        <v>0</v>
      </c>
      <c r="Q18" s="5"/>
      <c r="R18" s="5">
        <v>0</v>
      </c>
      <c r="S18" s="5">
        <v>1</v>
      </c>
      <c r="T18" s="5">
        <v>0</v>
      </c>
      <c r="Y18" s="5"/>
      <c r="Z18" s="5"/>
      <c r="AA18" s="5"/>
      <c r="AB18" s="5"/>
      <c r="AG18" s="5"/>
      <c r="AH18" s="5"/>
      <c r="AI18" s="5"/>
      <c r="AJ18" s="5"/>
    </row>
    <row r="19" spans="1:36" x14ac:dyDescent="0.2">
      <c r="A19" s="5"/>
      <c r="B19" s="5">
        <v>0</v>
      </c>
      <c r="C19" s="5">
        <v>0</v>
      </c>
      <c r="D19" s="5">
        <v>1</v>
      </c>
      <c r="I19" s="5"/>
      <c r="J19" s="5">
        <v>-0.58768582000000003</v>
      </c>
      <c r="K19" s="5">
        <v>0</v>
      </c>
      <c r="L19" s="5">
        <v>0.80908922999999999</v>
      </c>
      <c r="Q19" s="5"/>
      <c r="R19" s="5">
        <f>--0.00000172839</f>
        <v>1.72839E-6</v>
      </c>
      <c r="S19" s="5">
        <v>0</v>
      </c>
      <c r="T19" s="5">
        <v>1</v>
      </c>
      <c r="Y19" s="5"/>
      <c r="Z19" s="5"/>
      <c r="AA19" s="5"/>
      <c r="AB19" s="5"/>
      <c r="AG19" s="5"/>
      <c r="AH19" s="5"/>
      <c r="AI19" s="5"/>
      <c r="AJ19" s="5"/>
    </row>
    <row r="21" spans="1:36" x14ac:dyDescent="0.2">
      <c r="A21" s="4" t="s">
        <v>81</v>
      </c>
      <c r="B21" s="4">
        <v>0</v>
      </c>
      <c r="I21" s="4" t="s">
        <v>81</v>
      </c>
      <c r="J21" s="4">
        <f>B37</f>
        <v>0</v>
      </c>
      <c r="Q21" s="4" t="s">
        <v>81</v>
      </c>
      <c r="R21" s="4">
        <f>J37</f>
        <v>0</v>
      </c>
    </row>
    <row r="22" spans="1:36" x14ac:dyDescent="0.2">
      <c r="B22" s="4">
        <v>0</v>
      </c>
      <c r="J22" s="4">
        <f>B38</f>
        <v>0</v>
      </c>
      <c r="R22" s="4">
        <f>J38</f>
        <v>6.2819890000000003</v>
      </c>
    </row>
    <row r="23" spans="1:36" x14ac:dyDescent="0.2">
      <c r="B23" s="4">
        <v>0</v>
      </c>
      <c r="J23" s="4">
        <f>B39</f>
        <v>0</v>
      </c>
      <c r="R23" s="4">
        <f>J39</f>
        <v>0</v>
      </c>
    </row>
    <row r="25" spans="1:36" x14ac:dyDescent="0.2">
      <c r="A25" s="4" t="s">
        <v>80</v>
      </c>
      <c r="B25" s="4">
        <f>B17*$B$21+C17*$B$22+D17*$B$23</f>
        <v>0</v>
      </c>
      <c r="I25" s="4" t="s">
        <v>80</v>
      </c>
      <c r="J25" s="4">
        <f>J17*J$21+K17*J$22+L17*J$23</f>
        <v>0</v>
      </c>
      <c r="Q25" s="4" t="s">
        <v>80</v>
      </c>
      <c r="R25" s="4">
        <f>R17*R$21+S17*R$22+T17*R$23</f>
        <v>0</v>
      </c>
    </row>
    <row r="26" spans="1:36" x14ac:dyDescent="0.2">
      <c r="B26" s="4">
        <f>B18*$B$21+C18*$B$22+D18*$B$23</f>
        <v>0</v>
      </c>
      <c r="J26" s="4">
        <f t="shared" ref="J26:J27" si="9">J18*J$21+K18*J$22+L18*J$23</f>
        <v>0</v>
      </c>
      <c r="R26" s="4">
        <f t="shared" ref="R26:R27" si="10">R18*R$21+S18*R$22+T18*R$23</f>
        <v>6.2819890000000003</v>
      </c>
    </row>
    <row r="27" spans="1:36" x14ac:dyDescent="0.2">
      <c r="B27" s="4">
        <f>B19*$B$21+C19*$B$22+D19*$B$23</f>
        <v>0</v>
      </c>
      <c r="J27" s="4">
        <f t="shared" si="9"/>
        <v>0</v>
      </c>
      <c r="R27" s="4">
        <f t="shared" si="10"/>
        <v>0</v>
      </c>
    </row>
    <row r="29" spans="1:36" x14ac:dyDescent="0.2">
      <c r="A29" s="4" t="s">
        <v>82</v>
      </c>
      <c r="B29" s="4">
        <f>IF($B$13=0,0,SIN($B$13)/$B$13*G9)</f>
        <v>0</v>
      </c>
      <c r="C29" s="4" t="s">
        <v>83</v>
      </c>
      <c r="D29" s="4">
        <f>IF($B$13=0,0,(1-SIN($B$13)/$B$13)*$B$15/$B$13*E9/$B$13)</f>
        <v>0</v>
      </c>
      <c r="E29" s="4" t="s">
        <v>84</v>
      </c>
      <c r="F29" s="4">
        <f>IF($B$13=0,0,(2*SIN(0.5*$B$13)^2/$B$13^2)*(E10*G11-E11*G10))</f>
        <v>0</v>
      </c>
      <c r="I29" s="4" t="s">
        <v>82</v>
      </c>
      <c r="J29" s="4">
        <f>IF($J$13=0,0,SIN($J$13)/$J$13*O9)</f>
        <v>0</v>
      </c>
      <c r="K29" s="4" t="s">
        <v>83</v>
      </c>
      <c r="L29" s="4">
        <f>IF($J$13=0,0,(1-SIN($J$13)/$J$13)*$J$15/$J$13*M9/$J$13)</f>
        <v>0</v>
      </c>
      <c r="M29" s="4" t="s">
        <v>84</v>
      </c>
      <c r="N29" s="4">
        <f>IF(J$13=0,0,(2*SIN(0.5*J$13)^2/J$13^2)*(M10*O11-M11*O10))</f>
        <v>0</v>
      </c>
      <c r="Q29" s="4" t="s">
        <v>82</v>
      </c>
      <c r="R29" s="4">
        <f>IF(R$13=0,0,SIN(R$13)/R$13*W9)</f>
        <v>0</v>
      </c>
      <c r="S29" s="4" t="s">
        <v>83</v>
      </c>
      <c r="T29" s="4">
        <f>IF(R$13=0,0,(1-SIN(R$13)/R$13)*R$15/R$13*U9/R$13)</f>
        <v>0</v>
      </c>
      <c r="U29" s="4" t="s">
        <v>84</v>
      </c>
      <c r="V29" s="4">
        <f>IF(R$13=0,0,(2*SIN(0.5*R$13)^2/R$13^2)*(U10*W11-U11*W10))</f>
        <v>0</v>
      </c>
    </row>
    <row r="30" spans="1:36" x14ac:dyDescent="0.2">
      <c r="B30" s="4">
        <f>IF($B$13=0,0,SIN($B$13)/$B$13*G10)</f>
        <v>0</v>
      </c>
      <c r="D30" s="4">
        <f>IF($B$13=0,0,(1-SIN($B$13)/$B$13)*$B$15/$B$13*E10/$B$13)</f>
        <v>0</v>
      </c>
      <c r="F30" s="4">
        <f>IF($B$13=0,0,(2*SIN(0.5*$B$13)^2/$B$13^2)*(E11*G9-E9*G11))</f>
        <v>0</v>
      </c>
      <c r="J30" s="4">
        <f>IF($J$13=0,0,SIN($J$13)/$J$13*O10)</f>
        <v>5.8768846480277928</v>
      </c>
      <c r="L30" s="4">
        <f>IF($J$13=0,0,(1-SIN($J$13)/$J$13)*$J$15/$J$13*M10/$J$13)</f>
        <v>0.40510435197220723</v>
      </c>
      <c r="N30" s="4">
        <f>IF(J$13=0,0,(2*SIN(0.5*J$13)^2/J$13^2)*(O9*M11-M9*O11))</f>
        <v>0</v>
      </c>
      <c r="R30" s="4">
        <f t="shared" ref="R30:R31" si="11">IF(R$13=0,0,SIN(R$13)/R$13*W10)</f>
        <v>-1.7283936499991396E-5</v>
      </c>
      <c r="T30" s="4">
        <f t="shared" ref="T30:T31" si="12">IF(R$13=0,0,(1-SIN(R$13)/R$13)*R$15/R$13*U10/R$13)</f>
        <v>-8.606277379918927E-18</v>
      </c>
      <c r="V30" s="4">
        <f>IF(R$13=0,0,(2*SIN(0.5*R$13)^2/R$13^2)*(W9*U11-U9*W11))</f>
        <v>0</v>
      </c>
    </row>
    <row r="31" spans="1:36" x14ac:dyDescent="0.2">
      <c r="B31" s="4">
        <f>IF($B$13=0,0,SIN($B$13)/$B$13*G11)</f>
        <v>0</v>
      </c>
      <c r="D31" s="4">
        <f>IF($B$13=0,0,(1-SIN($B$13)/$B$13)*$B$15/$B$13*E11/$B$13)</f>
        <v>0</v>
      </c>
      <c r="F31" s="4">
        <f>IF($B$13=0,0,(2*SIN(0.5*$B$13)^2/$B$13^2)*(E9*G10-E10*G9))</f>
        <v>0</v>
      </c>
      <c r="J31" s="4">
        <f>IF($J$13=0,0,SIN($J$13)/$J$13*O11)</f>
        <v>0</v>
      </c>
      <c r="L31" s="4">
        <f>IF($J$13=0,0,(1-SIN($J$13)/$J$13)*$J$15/$J$13*M11/$J$13)</f>
        <v>0</v>
      </c>
      <c r="N31" s="4">
        <f>IF(J$13=0,0,(2*SIN(0.5*J$13)^2/J$13^2)*(M9*O10-M10*O9))</f>
        <v>0</v>
      </c>
      <c r="R31" s="4">
        <f t="shared" si="11"/>
        <v>0</v>
      </c>
      <c r="T31" s="4">
        <f t="shared" si="12"/>
        <v>0</v>
      </c>
      <c r="V31" s="4">
        <f>IF(R$13=0,0,(2*SIN(0.5*R$13)^2/R$13^2)*(U9*W10-U10*W9))</f>
        <v>0</v>
      </c>
    </row>
    <row r="33" spans="1:19" x14ac:dyDescent="0.2">
      <c r="A33" s="4" t="s">
        <v>70</v>
      </c>
      <c r="B33" s="4">
        <f>B29+D29+F29</f>
        <v>0</v>
      </c>
      <c r="I33" s="4" t="s">
        <v>70</v>
      </c>
      <c r="J33" s="4">
        <f>J29+L29+N29</f>
        <v>0</v>
      </c>
      <c r="Q33" s="4" t="s">
        <v>70</v>
      </c>
      <c r="R33" s="4">
        <f>R29+T29+V29</f>
        <v>0</v>
      </c>
    </row>
    <row r="34" spans="1:19" x14ac:dyDescent="0.2">
      <c r="B34" s="4">
        <f t="shared" ref="B34:B35" si="13">B30+D30+F30</f>
        <v>0</v>
      </c>
      <c r="J34" s="4">
        <f t="shared" ref="J34:J35" si="14">J30+L30+N30</f>
        <v>6.2819890000000003</v>
      </c>
      <c r="R34" s="4">
        <f t="shared" ref="R34:R35" si="15">R30+T30+V30</f>
        <v>-1.7283936500000002E-5</v>
      </c>
    </row>
    <row r="35" spans="1:19" x14ac:dyDescent="0.2">
      <c r="B35" s="4">
        <f t="shared" si="13"/>
        <v>0</v>
      </c>
      <c r="J35" s="4">
        <f t="shared" si="14"/>
        <v>0</v>
      </c>
      <c r="R35" s="4">
        <f t="shared" si="15"/>
        <v>0</v>
      </c>
    </row>
    <row r="37" spans="1:19" x14ac:dyDescent="0.2">
      <c r="A37" s="4" t="s">
        <v>85</v>
      </c>
      <c r="B37" s="4">
        <f>B33+B25</f>
        <v>0</v>
      </c>
      <c r="I37" s="4" t="s">
        <v>85</v>
      </c>
      <c r="J37" s="4">
        <f>J33+J25</f>
        <v>0</v>
      </c>
      <c r="Q37" s="4" t="s">
        <v>85</v>
      </c>
      <c r="R37" s="4">
        <f>R33+R25</f>
        <v>0</v>
      </c>
    </row>
    <row r="38" spans="1:19" x14ac:dyDescent="0.2">
      <c r="B38" s="4">
        <f>B34+B26</f>
        <v>0</v>
      </c>
      <c r="J38" s="4">
        <f>J34+J26</f>
        <v>6.2819890000000003</v>
      </c>
      <c r="R38" s="4">
        <f>R34+R26</f>
        <v>6.2819717160635005</v>
      </c>
    </row>
    <row r="39" spans="1:19" x14ac:dyDescent="0.2">
      <c r="B39" s="4">
        <f>B35+B27</f>
        <v>0</v>
      </c>
      <c r="J39" s="4">
        <f>J35+J27</f>
        <v>0</v>
      </c>
      <c r="R39" s="4">
        <f>R35+R27</f>
        <v>0</v>
      </c>
    </row>
    <row r="41" spans="1:19" x14ac:dyDescent="0.2">
      <c r="A41" s="4" t="s">
        <v>86</v>
      </c>
      <c r="B41" s="4">
        <v>0</v>
      </c>
      <c r="C41" s="4">
        <v>0</v>
      </c>
      <c r="I41" s="4" t="s">
        <v>86</v>
      </c>
      <c r="J41" s="4">
        <f>B291</f>
        <v>0</v>
      </c>
      <c r="K41" s="4">
        <f>C291</f>
        <v>0.12563978000000001</v>
      </c>
      <c r="Q41" s="4" t="s">
        <v>86</v>
      </c>
      <c r="R41" s="4">
        <f>J291</f>
        <v>0</v>
      </c>
      <c r="S41" s="4">
        <f>K291</f>
        <v>0.13849109000000001</v>
      </c>
    </row>
    <row r="42" spans="1:19" x14ac:dyDescent="0.2">
      <c r="B42" s="4">
        <v>0</v>
      </c>
      <c r="C42" s="4">
        <v>0</v>
      </c>
      <c r="J42" s="4">
        <f t="shared" ref="J42:K43" si="16">B292</f>
        <v>0</v>
      </c>
      <c r="K42" s="4">
        <f t="shared" si="16"/>
        <v>0</v>
      </c>
      <c r="R42" s="4">
        <f t="shared" ref="R42:R43" si="17">J292</f>
        <v>0</v>
      </c>
      <c r="S42" s="4">
        <f t="shared" ref="S42:S43" si="18">K292</f>
        <v>0</v>
      </c>
    </row>
    <row r="43" spans="1:19" x14ac:dyDescent="0.2">
      <c r="B43" s="4">
        <v>0</v>
      </c>
      <c r="C43" s="4">
        <v>0.2</v>
      </c>
      <c r="J43" s="4">
        <f t="shared" si="16"/>
        <v>0</v>
      </c>
      <c r="K43" s="4">
        <f t="shared" si="16"/>
        <v>0.2</v>
      </c>
      <c r="R43" s="4">
        <f t="shared" si="17"/>
        <v>0</v>
      </c>
      <c r="S43" s="4">
        <f t="shared" si="18"/>
        <v>0.19066529000000002</v>
      </c>
    </row>
    <row r="45" spans="1:19" x14ac:dyDescent="0.2">
      <c r="A45" s="4" t="s">
        <v>87</v>
      </c>
      <c r="B45" s="4">
        <f>B41*$B$3+C41*$C$3</f>
        <v>0</v>
      </c>
      <c r="I45" s="4" t="s">
        <v>87</v>
      </c>
      <c r="J45" s="4">
        <f>J41*$B$3+K41*$C$3</f>
        <v>0.6281989</v>
      </c>
      <c r="Q45" s="4" t="s">
        <v>87</v>
      </c>
      <c r="R45" s="4">
        <f>R41*$B$3+S41*$C$3</f>
        <v>0.69245545000000008</v>
      </c>
    </row>
    <row r="46" spans="1:19" x14ac:dyDescent="0.2">
      <c r="B46" s="4">
        <f t="shared" ref="B46:B47" si="19">B42*$B$3+C42*$C$3</f>
        <v>0</v>
      </c>
      <c r="J46" s="4">
        <f t="shared" ref="J46:J47" si="20">J42*$B$3+K42*$C$3</f>
        <v>0</v>
      </c>
      <c r="R46" s="4">
        <f t="shared" ref="R46:R47" si="21">R42*$B$3+S42*$C$3</f>
        <v>0</v>
      </c>
    </row>
    <row r="47" spans="1:19" x14ac:dyDescent="0.2">
      <c r="B47" s="4">
        <f t="shared" si="19"/>
        <v>1</v>
      </c>
      <c r="J47" s="4">
        <f t="shared" si="20"/>
        <v>1</v>
      </c>
      <c r="R47" s="4">
        <f t="shared" si="21"/>
        <v>0.95332645000000005</v>
      </c>
    </row>
    <row r="49" spans="1:36" x14ac:dyDescent="0.2">
      <c r="A49" s="5" t="s">
        <v>88</v>
      </c>
      <c r="B49" s="5">
        <v>1</v>
      </c>
      <c r="C49" s="5">
        <v>0</v>
      </c>
      <c r="D49" s="5">
        <v>0</v>
      </c>
      <c r="I49" s="5" t="s">
        <v>88</v>
      </c>
      <c r="J49" s="5">
        <v>0.80908922999999999</v>
      </c>
      <c r="K49" s="5">
        <v>0</v>
      </c>
      <c r="L49" s="5">
        <v>0.58768582000000003</v>
      </c>
      <c r="Q49" s="5" t="s">
        <v>88</v>
      </c>
      <c r="R49" s="5">
        <v>0.80909008000000004</v>
      </c>
      <c r="S49" s="5">
        <v>0</v>
      </c>
      <c r="T49" s="5">
        <v>0.58768465000000003</v>
      </c>
      <c r="Y49" s="5"/>
      <c r="Z49" s="5"/>
      <c r="AA49" s="5"/>
      <c r="AB49" s="5"/>
      <c r="AG49" s="5"/>
      <c r="AH49" s="5"/>
      <c r="AI49" s="5"/>
      <c r="AJ49" s="5"/>
    </row>
    <row r="50" spans="1:36" x14ac:dyDescent="0.2">
      <c r="A50" s="5"/>
      <c r="B50" s="5">
        <v>0</v>
      </c>
      <c r="C50" s="5">
        <v>1</v>
      </c>
      <c r="D50" s="5">
        <v>0</v>
      </c>
      <c r="I50" s="5"/>
      <c r="J50" s="5">
        <v>0</v>
      </c>
      <c r="K50" s="5">
        <v>1</v>
      </c>
      <c r="L50" s="5">
        <v>0</v>
      </c>
      <c r="Q50" s="5"/>
      <c r="R50" s="5">
        <v>0</v>
      </c>
      <c r="S50" s="5">
        <v>1</v>
      </c>
      <c r="T50" s="5">
        <v>0</v>
      </c>
      <c r="Y50" s="5"/>
      <c r="Z50" s="5"/>
      <c r="AA50" s="5"/>
      <c r="AB50" s="5"/>
      <c r="AG50" s="5"/>
      <c r="AH50" s="5"/>
      <c r="AI50" s="5"/>
      <c r="AJ50" s="5"/>
    </row>
    <row r="51" spans="1:36" x14ac:dyDescent="0.2">
      <c r="A51" s="5"/>
      <c r="B51" s="5">
        <v>0</v>
      </c>
      <c r="C51" s="5">
        <v>0</v>
      </c>
      <c r="D51" s="5">
        <v>1</v>
      </c>
      <c r="I51" s="5"/>
      <c r="J51" s="5">
        <v>-0.58768582000000003</v>
      </c>
      <c r="K51" s="5">
        <v>0</v>
      </c>
      <c r="L51" s="5">
        <v>0.80908922999999999</v>
      </c>
      <c r="Q51" s="5"/>
      <c r="R51" s="5">
        <v>-0.58768465000000003</v>
      </c>
      <c r="S51" s="5">
        <v>0</v>
      </c>
      <c r="T51" s="5">
        <v>0.80909008000000004</v>
      </c>
      <c r="Y51" s="5"/>
      <c r="Z51" s="5"/>
      <c r="AA51" s="5"/>
      <c r="AB51" s="5"/>
      <c r="AG51" s="5"/>
      <c r="AH51" s="5"/>
      <c r="AI51" s="5"/>
      <c r="AJ51" s="5"/>
    </row>
    <row r="53" spans="1:36" x14ac:dyDescent="0.2">
      <c r="A53" s="4" t="s">
        <v>69</v>
      </c>
      <c r="B53" s="4">
        <f>B45-(B49*0+C49*0+D49*1)</f>
        <v>0</v>
      </c>
      <c r="I53" s="4" t="s">
        <v>69</v>
      </c>
      <c r="J53" s="4">
        <f>J45-(J49*0+K49*0+L49*1)</f>
        <v>4.0513079999999979E-2</v>
      </c>
      <c r="Q53" s="4" t="s">
        <v>69</v>
      </c>
      <c r="R53" s="4">
        <f>R45-(R49*0+S49*0+T49*1)</f>
        <v>0.10477080000000005</v>
      </c>
    </row>
    <row r="54" spans="1:36" x14ac:dyDescent="0.2">
      <c r="B54" s="4">
        <f t="shared" ref="B54:B55" si="22">B46-(B50*0+C50*0+D50*1)</f>
        <v>0</v>
      </c>
      <c r="J54" s="4">
        <f t="shared" ref="J54:J55" si="23">J46-(J50*0+K50*0+L50*1)</f>
        <v>0</v>
      </c>
      <c r="R54" s="4">
        <f t="shared" ref="R54:R55" si="24">R46-(R50*0+S50*0+T50*1)</f>
        <v>0</v>
      </c>
    </row>
    <row r="55" spans="1:36" x14ac:dyDescent="0.2">
      <c r="B55" s="4">
        <f t="shared" si="22"/>
        <v>0</v>
      </c>
      <c r="J55" s="4">
        <f t="shared" si="23"/>
        <v>0.19091077000000001</v>
      </c>
      <c r="R55" s="4">
        <f t="shared" si="24"/>
        <v>0.14423637</v>
      </c>
    </row>
    <row r="58" spans="1:36" s="6" customFormat="1" x14ac:dyDescent="0.2">
      <c r="A58" s="6" t="s">
        <v>89</v>
      </c>
      <c r="I58" s="6" t="s">
        <v>89</v>
      </c>
      <c r="Q58" s="6" t="s">
        <v>89</v>
      </c>
    </row>
    <row r="59" spans="1:36" x14ac:dyDescent="0.2">
      <c r="A59" s="4" t="s">
        <v>67</v>
      </c>
      <c r="B59" s="4">
        <v>0.5</v>
      </c>
      <c r="C59" s="4">
        <v>0.5</v>
      </c>
      <c r="I59" s="4" t="s">
        <v>67</v>
      </c>
      <c r="J59" s="4">
        <v>0.5</v>
      </c>
      <c r="K59" s="4">
        <v>0.5</v>
      </c>
      <c r="Q59" s="4" t="s">
        <v>67</v>
      </c>
      <c r="R59" s="4">
        <v>0.5</v>
      </c>
      <c r="S59" s="4">
        <v>0.5</v>
      </c>
    </row>
    <row r="60" spans="1:36" x14ac:dyDescent="0.2">
      <c r="A60" s="4" t="s">
        <v>68</v>
      </c>
      <c r="B60" s="4">
        <v>-5</v>
      </c>
      <c r="C60" s="4">
        <v>5</v>
      </c>
      <c r="I60" s="4" t="s">
        <v>68</v>
      </c>
      <c r="J60" s="4">
        <v>-5</v>
      </c>
      <c r="K60" s="4">
        <v>5</v>
      </c>
      <c r="Q60" s="4" t="s">
        <v>68</v>
      </c>
      <c r="R60" s="4">
        <v>-5</v>
      </c>
      <c r="S60" s="4">
        <v>5</v>
      </c>
    </row>
    <row r="62" spans="1:36" x14ac:dyDescent="0.2">
      <c r="A62" s="4" t="s">
        <v>71</v>
      </c>
      <c r="B62" s="4">
        <v>0</v>
      </c>
      <c r="C62" s="4">
        <v>0</v>
      </c>
      <c r="D62" s="4" t="s">
        <v>73</v>
      </c>
      <c r="E62" s="4">
        <v>0</v>
      </c>
      <c r="F62" s="4">
        <v>0</v>
      </c>
      <c r="I62" s="4" t="s">
        <v>71</v>
      </c>
      <c r="J62" s="4">
        <f>C294</f>
        <v>0</v>
      </c>
      <c r="K62" s="4">
        <f>D294</f>
        <v>0</v>
      </c>
      <c r="L62" s="4" t="s">
        <v>73</v>
      </c>
      <c r="M62" s="4">
        <f>C287</f>
        <v>0</v>
      </c>
      <c r="N62" s="4">
        <f>D287</f>
        <v>0</v>
      </c>
      <c r="Q62" s="4" t="s">
        <v>71</v>
      </c>
      <c r="R62" s="4">
        <f>K294</f>
        <v>0</v>
      </c>
      <c r="S62" s="4">
        <f>L294</f>
        <v>0</v>
      </c>
      <c r="T62" s="4" t="s">
        <v>73</v>
      </c>
      <c r="U62" s="4">
        <f>K287</f>
        <v>0</v>
      </c>
      <c r="V62" s="4">
        <f>L287</f>
        <v>0</v>
      </c>
    </row>
    <row r="63" spans="1:36" x14ac:dyDescent="0.2">
      <c r="B63" s="4">
        <v>0</v>
      </c>
      <c r="C63" s="4">
        <v>0</v>
      </c>
      <c r="E63" s="4">
        <v>0</v>
      </c>
      <c r="F63" s="4">
        <v>0</v>
      </c>
      <c r="J63" s="4">
        <f t="shared" ref="J63:K64" si="25">C295</f>
        <v>1.2563978</v>
      </c>
      <c r="K63" s="4">
        <f t="shared" si="25"/>
        <v>2.51284156</v>
      </c>
      <c r="M63" s="4">
        <f t="shared" ref="M63:N64" si="26">C288</f>
        <v>1.2563978</v>
      </c>
      <c r="N63" s="4">
        <f t="shared" si="26"/>
        <v>2.51284156</v>
      </c>
      <c r="R63" s="4">
        <f t="shared" ref="R63:R64" si="27">K295</f>
        <v>1.2563943399999999</v>
      </c>
      <c r="S63" s="4">
        <f t="shared" ref="S63:S64" si="28">L295</f>
        <v>2.5128445300000002</v>
      </c>
      <c r="U63" s="4">
        <f t="shared" ref="U63:U64" si="29">K288</f>
        <v>-3.4567873000000002E-6</v>
      </c>
      <c r="V63" s="4">
        <f t="shared" ref="V63:V64" si="30">L288</f>
        <v>2.9706788400000001E-6</v>
      </c>
    </row>
    <row r="64" spans="1:36" x14ac:dyDescent="0.2">
      <c r="B64" s="4">
        <v>0</v>
      </c>
      <c r="C64" s="4">
        <v>0</v>
      </c>
      <c r="E64" s="4">
        <v>0</v>
      </c>
      <c r="F64" s="4">
        <v>0</v>
      </c>
      <c r="J64" s="4">
        <f t="shared" si="25"/>
        <v>0</v>
      </c>
      <c r="K64" s="4">
        <f t="shared" si="25"/>
        <v>0</v>
      </c>
      <c r="M64" s="4">
        <f t="shared" si="26"/>
        <v>0</v>
      </c>
      <c r="N64" s="4">
        <f t="shared" si="26"/>
        <v>0</v>
      </c>
      <c r="R64" s="4">
        <f t="shared" si="27"/>
        <v>0</v>
      </c>
      <c r="S64" s="4">
        <f t="shared" si="28"/>
        <v>0</v>
      </c>
      <c r="U64" s="4">
        <f t="shared" si="29"/>
        <v>0</v>
      </c>
      <c r="V64" s="4">
        <f t="shared" si="30"/>
        <v>0</v>
      </c>
    </row>
    <row r="66" spans="1:36" x14ac:dyDescent="0.2">
      <c r="A66" s="4" t="s">
        <v>72</v>
      </c>
      <c r="B66" s="4">
        <f>B62*$B$2+C62*$C$2</f>
        <v>0</v>
      </c>
      <c r="D66" s="4" t="s">
        <v>74</v>
      </c>
      <c r="E66" s="4">
        <f>E62*$B$2+F62*$C$2</f>
        <v>0</v>
      </c>
      <c r="F66" s="4" t="s">
        <v>75</v>
      </c>
      <c r="G66" s="4">
        <f>E62*$B$3+F62*$C$3</f>
        <v>0</v>
      </c>
      <c r="I66" s="4" t="s">
        <v>72</v>
      </c>
      <c r="J66" s="4">
        <f>J62*$B$2+K62*$C$2</f>
        <v>0</v>
      </c>
      <c r="L66" s="4" t="s">
        <v>74</v>
      </c>
      <c r="M66" s="4">
        <f>M62*$B$2+N62*$C$2</f>
        <v>0</v>
      </c>
      <c r="N66" s="4" t="s">
        <v>75</v>
      </c>
      <c r="O66" s="4">
        <f>M62*$B$3+N62*$C$3</f>
        <v>0</v>
      </c>
      <c r="Q66" s="4" t="s">
        <v>72</v>
      </c>
      <c r="R66" s="4">
        <f>R62*$B$2+S62*$C$2</f>
        <v>0</v>
      </c>
      <c r="T66" s="4" t="s">
        <v>74</v>
      </c>
      <c r="U66" s="4">
        <f>U62*$B$2+V62*$C$2</f>
        <v>0</v>
      </c>
      <c r="V66" s="4" t="s">
        <v>75</v>
      </c>
      <c r="W66" s="4">
        <f>U62*$B$3+V62*$C$3</f>
        <v>0</v>
      </c>
    </row>
    <row r="67" spans="1:36" x14ac:dyDescent="0.2">
      <c r="B67" s="4">
        <f t="shared" ref="B67:B68" si="31">B63*$B$2+C63*$C$2</f>
        <v>0</v>
      </c>
      <c r="E67" s="4">
        <f>E63*$B$2+F63*$C$2</f>
        <v>0</v>
      </c>
      <c r="G67" s="4">
        <f>E63*$B$3+F63*$C$3</f>
        <v>0</v>
      </c>
      <c r="J67" s="4">
        <f t="shared" ref="J67:J68" si="32">J63*$B$2+K63*$C$2</f>
        <v>1.8846196800000001</v>
      </c>
      <c r="M67" s="4">
        <f>M63*$B$2+N63*$C$2</f>
        <v>1.8846196800000001</v>
      </c>
      <c r="O67" s="4">
        <f>M63*$B$3+N63*$C$3</f>
        <v>6.2822187999999999</v>
      </c>
      <c r="R67" s="4">
        <f t="shared" ref="R67:R68" si="33">R63*$B$2+S63*$C$2</f>
        <v>1.8846194350000001</v>
      </c>
      <c r="U67" s="4">
        <f>U63*$B$2+V63*$C$2</f>
        <v>-2.4305423000000004E-7</v>
      </c>
      <c r="W67" s="4">
        <f>U63*$B$3+V63*$C$3</f>
        <v>3.2137330700000005E-5</v>
      </c>
    </row>
    <row r="68" spans="1:36" x14ac:dyDescent="0.2">
      <c r="B68" s="4">
        <f t="shared" si="31"/>
        <v>0</v>
      </c>
      <c r="E68" s="4">
        <f>E64*$B$2+F64*$C$2</f>
        <v>0</v>
      </c>
      <c r="G68" s="4">
        <f>E64*$B$3+F64*$C$3</f>
        <v>0</v>
      </c>
      <c r="J68" s="4">
        <f t="shared" si="32"/>
        <v>0</v>
      </c>
      <c r="M68" s="4">
        <f>M64*$B$2+N64*$C$2</f>
        <v>0</v>
      </c>
      <c r="O68" s="4">
        <f>M64*$B$3+N64*$C$3</f>
        <v>0</v>
      </c>
      <c r="R68" s="4">
        <f t="shared" si="33"/>
        <v>0</v>
      </c>
      <c r="U68" s="4">
        <f>U64*$B$2+V64*$C$2</f>
        <v>0</v>
      </c>
      <c r="W68" s="4">
        <f>U64*$B$3+V64*$C$3</f>
        <v>0</v>
      </c>
    </row>
    <row r="70" spans="1:36" x14ac:dyDescent="0.2">
      <c r="A70" s="4" t="s">
        <v>76</v>
      </c>
      <c r="B70" s="4">
        <f>SQRT(E66^2+E67^2+E68^2)</f>
        <v>0</v>
      </c>
      <c r="I70" s="4" t="s">
        <v>76</v>
      </c>
      <c r="J70" s="4">
        <f>SQRT(M66^2+M67^2+M68^2)</f>
        <v>1.8846196800000001</v>
      </c>
      <c r="Q70" s="4" t="s">
        <v>76</v>
      </c>
      <c r="R70" s="4">
        <f>SQRT(U66^2+U67^2+U68^2)</f>
        <v>2.4305423000000004E-7</v>
      </c>
    </row>
    <row r="72" spans="1:36" x14ac:dyDescent="0.2">
      <c r="A72" s="4" t="s">
        <v>77</v>
      </c>
      <c r="B72" s="4">
        <f>E66*G66+E67*G67+E68*G68</f>
        <v>0</v>
      </c>
      <c r="I72" s="4" t="s">
        <v>77</v>
      </c>
      <c r="J72" s="4">
        <f>M66*O66+M67*O67+M68*O68</f>
        <v>11.839593184545985</v>
      </c>
      <c r="Q72" s="4" t="s">
        <v>77</v>
      </c>
      <c r="R72" s="4">
        <f>U66*W66+U67*W67+U68*W68</f>
        <v>-7.8111141675438628E-12</v>
      </c>
    </row>
    <row r="74" spans="1:36" x14ac:dyDescent="0.2">
      <c r="A74" s="5" t="s">
        <v>79</v>
      </c>
      <c r="B74" s="5">
        <v>1</v>
      </c>
      <c r="C74" s="5">
        <v>0</v>
      </c>
      <c r="D74" s="5">
        <v>0</v>
      </c>
      <c r="I74" s="5" t="s">
        <v>79</v>
      </c>
      <c r="J74" s="5">
        <v>-0.30871155</v>
      </c>
      <c r="K74" s="5">
        <v>0</v>
      </c>
      <c r="L74" s="5">
        <v>0.95115570999999999</v>
      </c>
      <c r="Q74" s="5" t="s">
        <v>79</v>
      </c>
      <c r="R74" s="5">
        <v>-0.30871155</v>
      </c>
      <c r="S74" s="5">
        <v>0</v>
      </c>
      <c r="T74" s="5">
        <v>0.95115570999999999</v>
      </c>
      <c r="Y74" s="5"/>
      <c r="Z74" s="5"/>
      <c r="AA74" s="5"/>
      <c r="AB74" s="5"/>
      <c r="AG74" s="5"/>
      <c r="AH74" s="5"/>
      <c r="AI74" s="5"/>
      <c r="AJ74" s="5"/>
    </row>
    <row r="75" spans="1:36" x14ac:dyDescent="0.2">
      <c r="A75" s="5"/>
      <c r="B75" s="5">
        <v>0</v>
      </c>
      <c r="C75" s="5">
        <v>1</v>
      </c>
      <c r="D75" s="5">
        <v>0</v>
      </c>
      <c r="I75" s="5"/>
      <c r="J75" s="5">
        <v>0</v>
      </c>
      <c r="K75" s="5">
        <v>1</v>
      </c>
      <c r="L75" s="5">
        <v>0</v>
      </c>
      <c r="Q75" s="5"/>
      <c r="R75" s="5">
        <v>0</v>
      </c>
      <c r="S75" s="5">
        <v>1</v>
      </c>
      <c r="T75" s="5">
        <v>0</v>
      </c>
      <c r="Y75" s="5"/>
      <c r="Z75" s="5"/>
      <c r="AA75" s="5"/>
      <c r="AB75" s="5"/>
      <c r="AG75" s="5"/>
      <c r="AH75" s="5"/>
      <c r="AI75" s="5"/>
      <c r="AJ75" s="5"/>
    </row>
    <row r="76" spans="1:36" x14ac:dyDescent="0.2">
      <c r="A76" s="5"/>
      <c r="B76" s="5">
        <v>0</v>
      </c>
      <c r="C76" s="5">
        <v>0</v>
      </c>
      <c r="D76" s="5">
        <v>1</v>
      </c>
      <c r="I76" s="5"/>
      <c r="J76" s="5">
        <v>-0.95115570999999999</v>
      </c>
      <c r="K76" s="5">
        <v>0</v>
      </c>
      <c r="L76" s="5">
        <v>-0.30871155</v>
      </c>
      <c r="Q76" s="5"/>
      <c r="R76" s="5">
        <v>-0.95115570999999999</v>
      </c>
      <c r="S76" s="5">
        <v>0</v>
      </c>
      <c r="T76" s="5">
        <v>-0.30871155</v>
      </c>
      <c r="Y76" s="5"/>
      <c r="Z76" s="5"/>
      <c r="AA76" s="5"/>
      <c r="AB76" s="5"/>
      <c r="AG76" s="5"/>
      <c r="AH76" s="5"/>
      <c r="AI76" s="5"/>
      <c r="AJ76" s="5"/>
    </row>
    <row r="78" spans="1:36" x14ac:dyDescent="0.2">
      <c r="A78" s="4" t="s">
        <v>81</v>
      </c>
      <c r="B78" s="4">
        <v>0</v>
      </c>
      <c r="I78" s="4" t="s">
        <v>81</v>
      </c>
      <c r="J78" s="4">
        <f>B94</f>
        <v>0</v>
      </c>
      <c r="Q78" s="4" t="s">
        <v>81</v>
      </c>
      <c r="R78" s="4">
        <f>J94</f>
        <v>0</v>
      </c>
    </row>
    <row r="79" spans="1:36" x14ac:dyDescent="0.2">
      <c r="B79" s="4">
        <v>0</v>
      </c>
      <c r="J79" s="4">
        <f>B95</f>
        <v>0</v>
      </c>
      <c r="R79" s="4">
        <f>J95</f>
        <v>6.2822187999999999</v>
      </c>
    </row>
    <row r="80" spans="1:36" x14ac:dyDescent="0.2">
      <c r="B80" s="4">
        <v>0</v>
      </c>
      <c r="J80" s="4">
        <f>B96</f>
        <v>0</v>
      </c>
      <c r="R80" s="4">
        <f>J96</f>
        <v>0</v>
      </c>
    </row>
    <row r="82" spans="1:22" x14ac:dyDescent="0.2">
      <c r="A82" s="4" t="s">
        <v>80</v>
      </c>
      <c r="B82" s="4">
        <f>B74*B$78+C74*B$79+D74*B$80</f>
        <v>0</v>
      </c>
      <c r="I82" s="4" t="s">
        <v>80</v>
      </c>
      <c r="J82" s="4">
        <f>J74*J$78+K74*J$79+L74*J$80</f>
        <v>0</v>
      </c>
      <c r="Q82" s="4" t="s">
        <v>80</v>
      </c>
      <c r="R82" s="4">
        <f>R74*R$78+S74*R$79+T74*R$80</f>
        <v>0</v>
      </c>
    </row>
    <row r="83" spans="1:22" x14ac:dyDescent="0.2">
      <c r="B83" s="4">
        <f t="shared" ref="B83:B84" si="34">B75*B$78+C75*B$79+D75*B$80</f>
        <v>0</v>
      </c>
      <c r="J83" s="4">
        <f t="shared" ref="J83:J84" si="35">J75*J$78+K75*J$79+L75*J$80</f>
        <v>0</v>
      </c>
      <c r="R83" s="4">
        <f t="shared" ref="R83:R84" si="36">R75*R$78+S75*R$79+T75*R$80</f>
        <v>6.2822187999999999</v>
      </c>
    </row>
    <row r="84" spans="1:22" x14ac:dyDescent="0.2">
      <c r="B84" s="4">
        <f t="shared" si="34"/>
        <v>0</v>
      </c>
      <c r="J84" s="4">
        <f t="shared" si="35"/>
        <v>0</v>
      </c>
      <c r="R84" s="4">
        <f t="shared" si="36"/>
        <v>0</v>
      </c>
    </row>
    <row r="86" spans="1:22" x14ac:dyDescent="0.2">
      <c r="A86" s="4" t="s">
        <v>82</v>
      </c>
      <c r="B86" s="4">
        <f>IF(B$70=0,0,SIN(B$70)/B$70*G66)</f>
        <v>0</v>
      </c>
      <c r="C86" s="4" t="s">
        <v>83</v>
      </c>
      <c r="D86" s="4">
        <f>IF(B$70=0,0,(1-SIN(B$70)/$B$70)*B$72/B$70*E66/B$70)</f>
        <v>0</v>
      </c>
      <c r="E86" s="4" t="s">
        <v>84</v>
      </c>
      <c r="F86" s="4">
        <f>IF(B$70=0,0,(2*SIN(0.5*B$70)^2/B$70^2)*(E67*G68-E68*G67))</f>
        <v>0</v>
      </c>
      <c r="I86" s="4" t="s">
        <v>82</v>
      </c>
      <c r="J86" s="4">
        <f>IF($J$70=0,0,SIN($J$70)/$J$70*O66)</f>
        <v>0</v>
      </c>
      <c r="K86" s="4" t="s">
        <v>83</v>
      </c>
      <c r="L86" s="4">
        <f>IF($J$70=0,0,(1-SIN($J$70)/$J$70)*$J$72/$J$70*M66/$J$70)</f>
        <v>0</v>
      </c>
      <c r="M86" s="4" t="s">
        <v>84</v>
      </c>
      <c r="N86" s="4">
        <f>IF($J$70=0,0,(2*SIN(0.5*$J$70)^2/$J$70^2)*(M67*O68-M68*O67))</f>
        <v>0</v>
      </c>
      <c r="Q86" s="4" t="s">
        <v>82</v>
      </c>
      <c r="R86" s="4">
        <f>IF($J$70=0,0,SIN($J$70)/$J$70*W66)</f>
        <v>0</v>
      </c>
      <c r="S86" s="4" t="s">
        <v>83</v>
      </c>
      <c r="T86" s="4">
        <f>IF($J$70=0,0,(1-SIN($J$70)/$J$70)*$J$72/$J$70*U66/$J$70)</f>
        <v>0</v>
      </c>
      <c r="U86" s="4" t="s">
        <v>84</v>
      </c>
      <c r="V86" s="4">
        <f>IF($J$70=0,0,(2*SIN(0.5*$J$70)^2/$J$70^2)*(U67*W68-U68*W67))</f>
        <v>0</v>
      </c>
    </row>
    <row r="87" spans="1:22" x14ac:dyDescent="0.2">
      <c r="B87" s="4">
        <f t="shared" ref="B87:B88" si="37">IF(B$70=0,0,SIN(B$70)/B$70*G67)</f>
        <v>0</v>
      </c>
      <c r="D87" s="4">
        <f t="shared" ref="D87:D88" si="38">IF(B$70=0,0,(1-SIN(B$70)/$B$70)*B$72/B$70*E67/B$70)</f>
        <v>0</v>
      </c>
      <c r="F87" s="4">
        <f>IF(B$70=0,0,(2*SIN(0.5*B$70)^2/B$70^2)*(G66*E68-E66*G68))</f>
        <v>0</v>
      </c>
      <c r="J87" s="4">
        <f>IF($J$70=0,0,SIN($J$70)/$J$70*O67)</f>
        <v>3.1706115367816068</v>
      </c>
      <c r="L87" s="4">
        <f>IF($J$70=0,0,(1-SIN($J$70)/$J$70)*$J$72/$J$70*M67/$J$70)</f>
        <v>3.1116072632183931</v>
      </c>
      <c r="N87" s="4">
        <f>IF($J$70=0,0,(2*SIN(0.5*$J$70)^2/$J$70^2)*(O66*M68-M66*O68))</f>
        <v>0</v>
      </c>
      <c r="R87" s="4">
        <f>IF($J$70=0,0,SIN($J$70)/$J$70*W67)</f>
        <v>1.6219586538244374E-5</v>
      </c>
      <c r="T87" s="4">
        <f>IF($J$70=0,0,(1-SIN($J$70)/$J$70)*$J$72/$J$70*U67/$J$70)</f>
        <v>-4.0129545257850322E-7</v>
      </c>
      <c r="V87" s="4">
        <f>IF($J$70=0,0,(2*SIN(0.5*$J$70)^2/$J$70^2)*(W66*U68-U66*W68))</f>
        <v>0</v>
      </c>
    </row>
    <row r="88" spans="1:22" x14ac:dyDescent="0.2">
      <c r="B88" s="4">
        <f t="shared" si="37"/>
        <v>0</v>
      </c>
      <c r="D88" s="4">
        <f t="shared" si="38"/>
        <v>0</v>
      </c>
      <c r="F88" s="4">
        <f>IF(B$70=0,0,(2*SIN(0.5*B$70)^2/B$70^2)*(E66*G67-E67*G66))</f>
        <v>0</v>
      </c>
      <c r="J88" s="4">
        <f>IF($J$70=0,0,SIN($J$70)/$J$70*O68)</f>
        <v>0</v>
      </c>
      <c r="L88" s="4">
        <f>IF($J$70=0,0,(1-SIN($J$70)/$J$70)*$J$72/$J$70*M68/$J$70)</f>
        <v>0</v>
      </c>
      <c r="N88" s="4">
        <f>IF($J$70=0,0,(2*SIN(0.5*$J$70)^2/$J$70^2)*(M66*O67-M67*O66))</f>
        <v>0</v>
      </c>
      <c r="R88" s="4">
        <f>IF($J$70=0,0,SIN($J$70)/$J$70*W68)</f>
        <v>0</v>
      </c>
      <c r="T88" s="4">
        <f>IF($J$70=0,0,(1-SIN($J$70)/$J$70)*$J$72/$J$70*U68/$J$70)</f>
        <v>0</v>
      </c>
      <c r="V88" s="4">
        <f>IF($J$70=0,0,(2*SIN(0.5*$J$70)^2/$J$70^2)*(U66*W67-U67*W66))</f>
        <v>0</v>
      </c>
    </row>
    <row r="90" spans="1:22" x14ac:dyDescent="0.2">
      <c r="A90" s="4" t="s">
        <v>70</v>
      </c>
      <c r="B90" s="4">
        <f>B86+D86+F86</f>
        <v>0</v>
      </c>
      <c r="I90" s="4" t="s">
        <v>70</v>
      </c>
      <c r="J90" s="4">
        <f>J86+L86+N86</f>
        <v>0</v>
      </c>
      <c r="Q90" s="4" t="s">
        <v>70</v>
      </c>
      <c r="R90" s="4">
        <f>R86+T86+V86</f>
        <v>0</v>
      </c>
    </row>
    <row r="91" spans="1:22" x14ac:dyDescent="0.2">
      <c r="B91" s="4">
        <f t="shared" ref="B91:B92" si="39">B87+D87+F87</f>
        <v>0</v>
      </c>
      <c r="J91" s="4">
        <f t="shared" ref="J91:J92" si="40">J87+L87+N87</f>
        <v>6.2822187999999999</v>
      </c>
      <c r="R91" s="4">
        <f t="shared" ref="R91:R92" si="41">R87+T87+V87</f>
        <v>1.5818291085665869E-5</v>
      </c>
    </row>
    <row r="92" spans="1:22" x14ac:dyDescent="0.2">
      <c r="B92" s="4">
        <f t="shared" si="39"/>
        <v>0</v>
      </c>
      <c r="J92" s="4">
        <f t="shared" si="40"/>
        <v>0</v>
      </c>
      <c r="R92" s="4">
        <f t="shared" si="41"/>
        <v>0</v>
      </c>
    </row>
    <row r="94" spans="1:22" x14ac:dyDescent="0.2">
      <c r="A94" s="4" t="s">
        <v>85</v>
      </c>
      <c r="B94" s="4">
        <f>B90+B82</f>
        <v>0</v>
      </c>
      <c r="I94" s="4" t="s">
        <v>85</v>
      </c>
      <c r="J94" s="4">
        <f>J90+J82</f>
        <v>0</v>
      </c>
      <c r="Q94" s="4" t="s">
        <v>85</v>
      </c>
      <c r="R94" s="4">
        <f>R90+R82</f>
        <v>0</v>
      </c>
    </row>
    <row r="95" spans="1:22" x14ac:dyDescent="0.2">
      <c r="B95" s="4">
        <f>B91+B83</f>
        <v>0</v>
      </c>
      <c r="J95" s="4">
        <f>J91+J83</f>
        <v>6.2822187999999999</v>
      </c>
      <c r="R95" s="4">
        <f>R91+R83</f>
        <v>6.2822346182910858</v>
      </c>
    </row>
    <row r="96" spans="1:22" x14ac:dyDescent="0.2">
      <c r="B96" s="4">
        <f>B92+B84</f>
        <v>0</v>
      </c>
      <c r="J96" s="4">
        <f>J92+J84</f>
        <v>0</v>
      </c>
      <c r="R96" s="4">
        <f>R92+R84</f>
        <v>0</v>
      </c>
    </row>
    <row r="98" spans="1:36" x14ac:dyDescent="0.2">
      <c r="A98" s="4" t="s">
        <v>86</v>
      </c>
      <c r="B98" s="4">
        <v>0</v>
      </c>
      <c r="C98" s="4">
        <v>0</v>
      </c>
      <c r="I98" s="4" t="s">
        <v>86</v>
      </c>
      <c r="J98" s="4">
        <f>C291</f>
        <v>0.12563978000000001</v>
      </c>
      <c r="K98" s="4">
        <f>D291</f>
        <v>0.50256372000000005</v>
      </c>
      <c r="Q98" s="4" t="s">
        <v>86</v>
      </c>
      <c r="R98" s="4">
        <f>K291</f>
        <v>0.13849109000000001</v>
      </c>
      <c r="S98" s="4">
        <f>L291</f>
        <v>0.42077218000000005</v>
      </c>
    </row>
    <row r="99" spans="1:36" x14ac:dyDescent="0.2">
      <c r="B99" s="4">
        <v>0</v>
      </c>
      <c r="C99" s="4">
        <v>0</v>
      </c>
      <c r="J99" s="4">
        <f t="shared" ref="J99:K100" si="42">C292</f>
        <v>0</v>
      </c>
      <c r="K99" s="4">
        <f t="shared" si="42"/>
        <v>0</v>
      </c>
      <c r="R99" s="4">
        <f t="shared" ref="R99:R100" si="43">K292</f>
        <v>0</v>
      </c>
      <c r="S99" s="4">
        <f t="shared" ref="S99:S100" si="44">L292</f>
        <v>0</v>
      </c>
    </row>
    <row r="100" spans="1:36" x14ac:dyDescent="0.2">
      <c r="B100" s="4">
        <v>0.2</v>
      </c>
      <c r="C100" s="4">
        <v>0.4</v>
      </c>
      <c r="J100" s="4">
        <f t="shared" si="42"/>
        <v>0.2</v>
      </c>
      <c r="K100" s="4">
        <f t="shared" si="42"/>
        <v>0.4</v>
      </c>
      <c r="R100" s="4">
        <f t="shared" si="43"/>
        <v>0.19066529000000002</v>
      </c>
      <c r="S100" s="4">
        <f t="shared" si="44"/>
        <v>9.9051500000000015E-2</v>
      </c>
    </row>
    <row r="102" spans="1:36" x14ac:dyDescent="0.2">
      <c r="A102" s="4" t="s">
        <v>87</v>
      </c>
      <c r="B102" s="4">
        <f>B98*$B$3+C98*$C$3</f>
        <v>0</v>
      </c>
      <c r="I102" s="4" t="s">
        <v>87</v>
      </c>
      <c r="J102" s="4">
        <f>J98*$B$3+K98*$C$3</f>
        <v>1.8846197</v>
      </c>
      <c r="Q102" s="4" t="s">
        <v>87</v>
      </c>
      <c r="R102" s="4">
        <f>R98*$B$3+S98*$C$3</f>
        <v>1.4114054500000002</v>
      </c>
    </row>
    <row r="103" spans="1:36" x14ac:dyDescent="0.2">
      <c r="B103" s="4">
        <f t="shared" ref="B103:B104" si="45">B99*$B$3+C99*$C$3</f>
        <v>0</v>
      </c>
      <c r="J103" s="4">
        <f t="shared" ref="J103:J104" si="46">J99*$B$3+K99*$C$3</f>
        <v>0</v>
      </c>
      <c r="R103" s="4">
        <f t="shared" ref="R103:R104" si="47">R99*$B$3+S99*$C$3</f>
        <v>0</v>
      </c>
    </row>
    <row r="104" spans="1:36" x14ac:dyDescent="0.2">
      <c r="B104" s="4">
        <f t="shared" si="45"/>
        <v>1</v>
      </c>
      <c r="J104" s="4">
        <f t="shared" si="46"/>
        <v>1</v>
      </c>
      <c r="R104" s="4">
        <f t="shared" si="47"/>
        <v>-0.45806894999999997</v>
      </c>
    </row>
    <row r="106" spans="1:36" x14ac:dyDescent="0.2">
      <c r="A106" s="5" t="s">
        <v>88</v>
      </c>
      <c r="B106" s="5">
        <v>1</v>
      </c>
      <c r="C106" s="5">
        <v>0</v>
      </c>
      <c r="D106" s="5">
        <v>0</v>
      </c>
      <c r="I106" s="5" t="s">
        <v>88</v>
      </c>
      <c r="J106" s="5">
        <v>-0.30871155</v>
      </c>
      <c r="K106" s="5">
        <v>0</v>
      </c>
      <c r="L106" s="5">
        <v>0.95115570999999999</v>
      </c>
      <c r="Q106" s="5" t="s">
        <v>88</v>
      </c>
      <c r="R106" s="5">
        <v>-0.30871155</v>
      </c>
      <c r="S106" s="5">
        <v>0</v>
      </c>
      <c r="T106" s="5">
        <v>0.95115570999999999</v>
      </c>
      <c r="Y106" s="5"/>
      <c r="Z106" s="5"/>
      <c r="AA106" s="5"/>
      <c r="AB106" s="5"/>
      <c r="AG106" s="5"/>
      <c r="AH106" s="5"/>
      <c r="AI106" s="5"/>
      <c r="AJ106" s="5"/>
    </row>
    <row r="107" spans="1:36" x14ac:dyDescent="0.2">
      <c r="A107" s="5"/>
      <c r="B107" s="5">
        <v>0</v>
      </c>
      <c r="C107" s="5">
        <v>1</v>
      </c>
      <c r="D107" s="5">
        <v>0</v>
      </c>
      <c r="I107" s="5"/>
      <c r="J107" s="5">
        <v>0</v>
      </c>
      <c r="K107" s="5">
        <v>1</v>
      </c>
      <c r="L107" s="5">
        <v>0</v>
      </c>
      <c r="Q107" s="5"/>
      <c r="R107" s="5">
        <v>0</v>
      </c>
      <c r="S107" s="5">
        <v>1</v>
      </c>
      <c r="T107" s="5">
        <v>0</v>
      </c>
      <c r="Y107" s="5"/>
      <c r="Z107" s="5"/>
      <c r="AA107" s="5"/>
      <c r="AB107" s="5"/>
      <c r="AG107" s="5"/>
      <c r="AH107" s="5"/>
      <c r="AI107" s="5"/>
      <c r="AJ107" s="5"/>
    </row>
    <row r="108" spans="1:36" x14ac:dyDescent="0.2">
      <c r="A108" s="5"/>
      <c r="B108" s="5">
        <v>0</v>
      </c>
      <c r="C108" s="5">
        <v>0</v>
      </c>
      <c r="D108" s="5">
        <v>1</v>
      </c>
      <c r="I108" s="5"/>
      <c r="J108" s="5">
        <v>-0.95115570999999999</v>
      </c>
      <c r="K108" s="5">
        <v>0</v>
      </c>
      <c r="L108" s="5">
        <v>-0.30871155</v>
      </c>
      <c r="Q108" s="5"/>
      <c r="R108" s="5">
        <v>-0.95115570999999999</v>
      </c>
      <c r="S108" s="5">
        <v>0</v>
      </c>
      <c r="T108" s="5">
        <v>-0.30871155</v>
      </c>
      <c r="Y108" s="5"/>
      <c r="Z108" s="5"/>
      <c r="AA108" s="5"/>
      <c r="AB108" s="5"/>
      <c r="AG108" s="5"/>
      <c r="AH108" s="5"/>
      <c r="AI108" s="5"/>
      <c r="AJ108" s="5"/>
    </row>
    <row r="110" spans="1:36" x14ac:dyDescent="0.2">
      <c r="A110" s="4" t="s">
        <v>69</v>
      </c>
      <c r="B110" s="4">
        <f>B102-(B106*0+C106*0+D106*1)</f>
        <v>0</v>
      </c>
      <c r="I110" s="4" t="s">
        <v>69</v>
      </c>
      <c r="J110" s="4">
        <f>J102-(J106*0+K106*0+L106*1)</f>
        <v>0.93346399000000002</v>
      </c>
      <c r="Q110" s="4" t="s">
        <v>69</v>
      </c>
      <c r="R110" s="4">
        <f>R102-(R106*0+S106*0+T106*1)</f>
        <v>0.46024974000000018</v>
      </c>
    </row>
    <row r="111" spans="1:36" x14ac:dyDescent="0.2">
      <c r="B111" s="4">
        <f t="shared" ref="B111:B112" si="48">B103-(B107*0+C107*0+D107*1)</f>
        <v>0</v>
      </c>
      <c r="J111" s="4">
        <f t="shared" ref="J111:J112" si="49">J103-(J107*0+K107*0+L107*1)</f>
        <v>0</v>
      </c>
      <c r="R111" s="4">
        <f t="shared" ref="R111:R112" si="50">R103-(R107*0+S107*0+T107*1)</f>
        <v>0</v>
      </c>
    </row>
    <row r="112" spans="1:36" x14ac:dyDescent="0.2">
      <c r="B112" s="4">
        <f t="shared" si="48"/>
        <v>0</v>
      </c>
      <c r="J112" s="4">
        <f t="shared" si="49"/>
        <v>1.3087115499999999</v>
      </c>
      <c r="R112" s="4">
        <f t="shared" si="50"/>
        <v>-0.14935739999999997</v>
      </c>
    </row>
    <row r="114" spans="1:36" s="6" customFormat="1" x14ac:dyDescent="0.2">
      <c r="A114" s="6" t="s">
        <v>94</v>
      </c>
      <c r="I114" s="6" t="s">
        <v>94</v>
      </c>
      <c r="Q114" s="6" t="s">
        <v>94</v>
      </c>
    </row>
    <row r="115" spans="1:36" x14ac:dyDescent="0.2">
      <c r="A115" s="4" t="s">
        <v>67</v>
      </c>
      <c r="B115" s="4">
        <v>0.5</v>
      </c>
      <c r="C115" s="4">
        <v>0.5</v>
      </c>
      <c r="I115" s="4" t="s">
        <v>67</v>
      </c>
      <c r="J115" s="4">
        <v>0.5</v>
      </c>
      <c r="K115" s="4">
        <v>0.5</v>
      </c>
      <c r="Q115" s="4" t="s">
        <v>67</v>
      </c>
      <c r="R115" s="4">
        <v>0.5</v>
      </c>
      <c r="S115" s="4">
        <v>0.5</v>
      </c>
    </row>
    <row r="116" spans="1:36" x14ac:dyDescent="0.2">
      <c r="A116" s="4" t="s">
        <v>68</v>
      </c>
      <c r="B116" s="4">
        <v>-5</v>
      </c>
      <c r="C116" s="4">
        <v>5</v>
      </c>
      <c r="I116" s="4" t="s">
        <v>68</v>
      </c>
      <c r="J116" s="4">
        <v>-5</v>
      </c>
      <c r="K116" s="4">
        <v>5</v>
      </c>
      <c r="Q116" s="4" t="s">
        <v>68</v>
      </c>
      <c r="R116" s="4">
        <v>-5</v>
      </c>
      <c r="S116" s="4">
        <v>5</v>
      </c>
    </row>
    <row r="118" spans="1:36" x14ac:dyDescent="0.2">
      <c r="A118" s="4" t="s">
        <v>71</v>
      </c>
      <c r="B118" s="4">
        <v>0</v>
      </c>
      <c r="C118" s="4">
        <v>0</v>
      </c>
      <c r="D118" s="4" t="s">
        <v>73</v>
      </c>
      <c r="E118" s="4">
        <v>0</v>
      </c>
      <c r="F118" s="4">
        <v>0</v>
      </c>
      <c r="I118" s="4" t="s">
        <v>71</v>
      </c>
      <c r="J118" s="4">
        <f>D294</f>
        <v>0</v>
      </c>
      <c r="K118" s="4">
        <f>E294</f>
        <v>0</v>
      </c>
      <c r="L118" s="4" t="s">
        <v>73</v>
      </c>
      <c r="M118" s="4">
        <f>D287</f>
        <v>0</v>
      </c>
      <c r="N118" s="4">
        <f>E287</f>
        <v>0</v>
      </c>
      <c r="Q118" s="4" t="s">
        <v>71</v>
      </c>
      <c r="R118" s="4">
        <f>L294</f>
        <v>0</v>
      </c>
      <c r="S118" s="4">
        <f>M294</f>
        <v>0</v>
      </c>
      <c r="T118" s="4" t="s">
        <v>73</v>
      </c>
      <c r="U118" s="4">
        <f>L287</f>
        <v>0</v>
      </c>
      <c r="V118" s="4">
        <f>M287</f>
        <v>0</v>
      </c>
    </row>
    <row r="119" spans="1:36" x14ac:dyDescent="0.2">
      <c r="B119" s="4">
        <v>0</v>
      </c>
      <c r="C119" s="4">
        <v>0</v>
      </c>
      <c r="E119" s="4">
        <v>0</v>
      </c>
      <c r="F119" s="4">
        <v>0</v>
      </c>
      <c r="J119" s="4">
        <f t="shared" ref="J119:K120" si="51">D295</f>
        <v>2.51284156</v>
      </c>
      <c r="K119" s="4">
        <f t="shared" si="51"/>
        <v>-2.5138562800000002</v>
      </c>
      <c r="M119" s="4">
        <f t="shared" ref="M119:N120" si="52">D288</f>
        <v>2.51284156</v>
      </c>
      <c r="N119" s="4">
        <f t="shared" si="52"/>
        <v>3.7693290300000002</v>
      </c>
      <c r="R119" s="4">
        <f t="shared" ref="R119:R120" si="53">L295</f>
        <v>2.5128445300000002</v>
      </c>
      <c r="S119" s="4">
        <f t="shared" ref="S119:S120" si="54">M295</f>
        <v>-2.5138592499999999</v>
      </c>
      <c r="U119" s="4">
        <f t="shared" ref="U119:U120" si="55">L288</f>
        <v>2.9706788400000001E-6</v>
      </c>
      <c r="V119" s="4">
        <f t="shared" ref="V119:V120" si="56">M288</f>
        <v>-2.9714601100000002E-6</v>
      </c>
    </row>
    <row r="120" spans="1:36" x14ac:dyDescent="0.2">
      <c r="B120" s="4">
        <v>0</v>
      </c>
      <c r="C120" s="4">
        <v>0</v>
      </c>
      <c r="E120" s="4">
        <v>0</v>
      </c>
      <c r="F120" s="4">
        <v>0</v>
      </c>
      <c r="J120" s="4">
        <f t="shared" si="51"/>
        <v>0</v>
      </c>
      <c r="K120" s="4">
        <f t="shared" si="51"/>
        <v>0</v>
      </c>
      <c r="M120" s="4">
        <f t="shared" si="52"/>
        <v>0</v>
      </c>
      <c r="N120" s="4">
        <f t="shared" si="52"/>
        <v>0</v>
      </c>
      <c r="R120" s="4">
        <f t="shared" si="53"/>
        <v>0</v>
      </c>
      <c r="S120" s="4">
        <f t="shared" si="54"/>
        <v>0</v>
      </c>
      <c r="U120" s="4">
        <f t="shared" si="55"/>
        <v>0</v>
      </c>
      <c r="V120" s="4">
        <f t="shared" si="56"/>
        <v>0</v>
      </c>
    </row>
    <row r="122" spans="1:36" x14ac:dyDescent="0.2">
      <c r="A122" s="4" t="s">
        <v>72</v>
      </c>
      <c r="B122" s="4">
        <f>B118*$B$2+C118*$C$2</f>
        <v>0</v>
      </c>
      <c r="D122" s="4" t="s">
        <v>74</v>
      </c>
      <c r="E122" s="4">
        <f>E118*$B$2+F118*$C$2</f>
        <v>0</v>
      </c>
      <c r="F122" s="4" t="s">
        <v>75</v>
      </c>
      <c r="G122" s="4">
        <f>E118*$B$3+F118*$C$3</f>
        <v>0</v>
      </c>
      <c r="I122" s="4" t="s">
        <v>72</v>
      </c>
      <c r="J122" s="4">
        <f>J118*$B$2+K118*$C$2</f>
        <v>0</v>
      </c>
      <c r="L122" s="4" t="s">
        <v>74</v>
      </c>
      <c r="M122" s="4">
        <f>M118*$B$2+N118*$C$2</f>
        <v>0</v>
      </c>
      <c r="N122" s="4" t="s">
        <v>75</v>
      </c>
      <c r="O122" s="4">
        <f>M118*$B$3+N118*$C$3</f>
        <v>0</v>
      </c>
      <c r="Q122" s="4" t="s">
        <v>72</v>
      </c>
      <c r="R122" s="4">
        <f>R118*$B$2+S118*$C$2</f>
        <v>0</v>
      </c>
      <c r="T122" s="4" t="s">
        <v>74</v>
      </c>
      <c r="U122" s="4">
        <f>U118*$B$2+V118*$C$2</f>
        <v>0</v>
      </c>
      <c r="V122" s="4" t="s">
        <v>75</v>
      </c>
      <c r="W122" s="4">
        <f>U118*$B$3+V118*$C$3</f>
        <v>0</v>
      </c>
    </row>
    <row r="123" spans="1:36" x14ac:dyDescent="0.2">
      <c r="B123" s="4">
        <f t="shared" ref="B123:B124" si="57">B119*$B$2+C119*$C$2</f>
        <v>0</v>
      </c>
      <c r="E123" s="4">
        <f>E119*$B$2+F119*$C$2</f>
        <v>0</v>
      </c>
      <c r="G123" s="4">
        <f>E119*$B$3+F119*$C$3</f>
        <v>0</v>
      </c>
      <c r="J123" s="4">
        <f t="shared" ref="J123:J124" si="58">J119*$B$2+K119*$C$2</f>
        <v>-5.0736000000006776E-4</v>
      </c>
      <c r="M123" s="4">
        <f>M119*$B$2+N119*$C$2</f>
        <v>3.1410852949999999</v>
      </c>
      <c r="O123" s="4">
        <f>M119*$B$3+N119*$C$3</f>
        <v>6.2824373500000004</v>
      </c>
      <c r="R123" s="4">
        <f t="shared" ref="R123:R124" si="59">R119*$B$2+S119*$C$2</f>
        <v>-5.0735999999984571E-4</v>
      </c>
      <c r="U123" s="4">
        <f>U119*$B$2+V119*$C$2</f>
        <v>-3.9063500000004577E-10</v>
      </c>
      <c r="W123" s="4">
        <f>U119*$B$3+V119*$C$3</f>
        <v>-2.9710694750000001E-5</v>
      </c>
    </row>
    <row r="124" spans="1:36" x14ac:dyDescent="0.2">
      <c r="B124" s="4">
        <f t="shared" si="57"/>
        <v>0</v>
      </c>
      <c r="E124" s="4">
        <f>E120*$B$2+F120*$C$2</f>
        <v>0</v>
      </c>
      <c r="G124" s="4">
        <f>E120*$B$3+F120*$C$3</f>
        <v>0</v>
      </c>
      <c r="J124" s="4">
        <f t="shared" si="58"/>
        <v>0</v>
      </c>
      <c r="M124" s="4">
        <f>M120*$B$2+N120*$C$2</f>
        <v>0</v>
      </c>
      <c r="O124" s="4">
        <f>M120*$B$3+N120*$C$3</f>
        <v>0</v>
      </c>
      <c r="R124" s="4">
        <f t="shared" si="59"/>
        <v>0</v>
      </c>
      <c r="U124" s="4">
        <f>U120*$B$2+V120*$C$2</f>
        <v>0</v>
      </c>
      <c r="W124" s="4">
        <f>U120*$B$3+V120*$C$3</f>
        <v>0</v>
      </c>
    </row>
    <row r="125" spans="1:36" x14ac:dyDescent="0.2">
      <c r="AJ125" s="7"/>
    </row>
    <row r="126" spans="1:36" x14ac:dyDescent="0.2">
      <c r="A126" s="4" t="s">
        <v>76</v>
      </c>
      <c r="B126" s="4">
        <f>SQRT(E122^2+E123^2+E124^2)</f>
        <v>0</v>
      </c>
      <c r="I126" s="4" t="s">
        <v>76</v>
      </c>
      <c r="J126" s="4">
        <f>SQRT(M122^2+M123^2+M124^2)</f>
        <v>3.1410852949999999</v>
      </c>
      <c r="Q126" s="4" t="s">
        <v>76</v>
      </c>
      <c r="R126" s="4">
        <f>SQRT(U122^2+U123^2+U124^2)</f>
        <v>3.9063500000004577E-10</v>
      </c>
    </row>
    <row r="128" spans="1:36" x14ac:dyDescent="0.2">
      <c r="A128" s="4" t="s">
        <v>77</v>
      </c>
      <c r="B128" s="4">
        <f>E122*G122+E123*G123+E124*G124</f>
        <v>0</v>
      </c>
      <c r="I128" s="4" t="s">
        <v>77</v>
      </c>
      <c r="J128" s="4">
        <f>M122*O122+M123*O123+M124*O124</f>
        <v>19.733671576843768</v>
      </c>
      <c r="Q128" s="4" t="s">
        <v>77</v>
      </c>
      <c r="R128" s="4">
        <f>U122*W122+U123*W123+U124*W124</f>
        <v>1.1606037243667611E-14</v>
      </c>
    </row>
    <row r="130" spans="1:22" x14ac:dyDescent="0.2">
      <c r="A130" s="5" t="s">
        <v>79</v>
      </c>
      <c r="B130" s="5">
        <v>1</v>
      </c>
      <c r="C130" s="5">
        <v>0</v>
      </c>
      <c r="D130" s="5">
        <v>0</v>
      </c>
      <c r="I130" s="5" t="s">
        <v>79</v>
      </c>
      <c r="J130" s="5">
        <v>-0.99999991799999999</v>
      </c>
      <c r="K130" s="5">
        <v>0</v>
      </c>
      <c r="L130" s="5">
        <v>4.0541857900000002E-4</v>
      </c>
      <c r="Q130" s="5" t="s">
        <v>79</v>
      </c>
      <c r="R130" s="5">
        <v>-0.99999991799999999</v>
      </c>
      <c r="S130" s="5">
        <v>0</v>
      </c>
      <c r="T130" s="5">
        <v>4.0541857900000002E-4</v>
      </c>
    </row>
    <row r="131" spans="1:22" x14ac:dyDescent="0.2">
      <c r="A131" s="5"/>
      <c r="B131" s="5">
        <v>0</v>
      </c>
      <c r="C131" s="5">
        <v>1</v>
      </c>
      <c r="D131" s="5">
        <v>0</v>
      </c>
      <c r="I131" s="5"/>
      <c r="J131" s="5">
        <v>0</v>
      </c>
      <c r="K131" s="5">
        <v>1</v>
      </c>
      <c r="L131" s="5">
        <v>0</v>
      </c>
      <c r="Q131" s="5"/>
      <c r="R131" s="5">
        <v>0</v>
      </c>
      <c r="S131" s="5">
        <v>1</v>
      </c>
      <c r="T131" s="5">
        <v>0</v>
      </c>
    </row>
    <row r="132" spans="1:22" x14ac:dyDescent="0.2">
      <c r="A132" s="5"/>
      <c r="B132" s="5">
        <v>0</v>
      </c>
      <c r="C132" s="5">
        <v>0</v>
      </c>
      <c r="D132" s="5">
        <v>1</v>
      </c>
      <c r="I132" s="5"/>
      <c r="J132" s="5">
        <v>-4.0541857900000002E-4</v>
      </c>
      <c r="K132" s="5">
        <v>0</v>
      </c>
      <c r="L132" s="5">
        <v>-0.99999991799999999</v>
      </c>
      <c r="Q132" s="5"/>
      <c r="R132" s="5">
        <v>-4.0541857900000002E-4</v>
      </c>
      <c r="S132" s="5">
        <v>0</v>
      </c>
      <c r="T132" s="5">
        <v>-0.99999991799999999</v>
      </c>
    </row>
    <row r="134" spans="1:22" x14ac:dyDescent="0.2">
      <c r="A134" s="4" t="s">
        <v>81</v>
      </c>
      <c r="B134" s="4">
        <v>0</v>
      </c>
      <c r="I134" s="4" t="s">
        <v>81</v>
      </c>
      <c r="J134" s="4">
        <f>B150</f>
        <v>0</v>
      </c>
      <c r="Q134" s="4" t="s">
        <v>81</v>
      </c>
      <c r="R134" s="4">
        <f>J150</f>
        <v>0</v>
      </c>
    </row>
    <row r="135" spans="1:22" x14ac:dyDescent="0.2">
      <c r="B135" s="4">
        <v>0</v>
      </c>
      <c r="J135" s="4">
        <f t="shared" ref="J135:J136" si="60">B151</f>
        <v>0</v>
      </c>
      <c r="R135" s="4">
        <f t="shared" ref="R135:R136" si="61">J151</f>
        <v>6.2824373500000004</v>
      </c>
    </row>
    <row r="136" spans="1:22" x14ac:dyDescent="0.2">
      <c r="B136" s="4">
        <v>0</v>
      </c>
      <c r="J136" s="4">
        <f t="shared" si="60"/>
        <v>0</v>
      </c>
      <c r="R136" s="4">
        <f t="shared" si="61"/>
        <v>0</v>
      </c>
    </row>
    <row r="138" spans="1:22" x14ac:dyDescent="0.2">
      <c r="A138" s="4" t="s">
        <v>80</v>
      </c>
      <c r="B138" s="4">
        <f>B130*B$78+C130*B$79+D130*B$80</f>
        <v>0</v>
      </c>
      <c r="I138" s="4" t="s">
        <v>80</v>
      </c>
      <c r="J138" s="4">
        <f>J130*J$134+K130*J$135+L130*J$136</f>
        <v>0</v>
      </c>
      <c r="Q138" s="4" t="s">
        <v>80</v>
      </c>
      <c r="R138" s="4">
        <f>R130*R$134+S130*R$135+T130*R$136</f>
        <v>0</v>
      </c>
    </row>
    <row r="139" spans="1:22" x14ac:dyDescent="0.2">
      <c r="B139" s="4">
        <f t="shared" ref="B139:B140" si="62">B131*B$78+C131*B$79+D131*B$80</f>
        <v>0</v>
      </c>
      <c r="J139" s="4">
        <f t="shared" ref="J139:J140" si="63">J131*J$134+K131*J$135+L131*J$136</f>
        <v>0</v>
      </c>
      <c r="R139" s="4">
        <f t="shared" ref="R139:R140" si="64">R131*R$134+S131*R$135+T131*R$136</f>
        <v>6.2824373500000004</v>
      </c>
    </row>
    <row r="140" spans="1:22" x14ac:dyDescent="0.2">
      <c r="B140" s="4">
        <f t="shared" si="62"/>
        <v>0</v>
      </c>
      <c r="J140" s="4">
        <f t="shared" si="63"/>
        <v>0</v>
      </c>
      <c r="R140" s="4">
        <f t="shared" si="64"/>
        <v>0</v>
      </c>
    </row>
    <row r="142" spans="1:22" x14ac:dyDescent="0.2">
      <c r="A142" s="4" t="s">
        <v>82</v>
      </c>
      <c r="B142" s="4">
        <f>IF(B$70=0,0,SIN(B$70)/B$70*G122)</f>
        <v>0</v>
      </c>
      <c r="C142" s="4" t="s">
        <v>83</v>
      </c>
      <c r="D142" s="4">
        <f>IF(B$70=0,0,(1-SIN(B$70)/$B$70)*B$72/B$70*E122/B$70)</f>
        <v>0</v>
      </c>
      <c r="E142" s="4" t="s">
        <v>84</v>
      </c>
      <c r="F142" s="4">
        <f>IF(B$70=0,0,(2*SIN(0.5*B$70)^2/B$70^2)*(E123*G124-E124*G123))</f>
        <v>0</v>
      </c>
      <c r="I142" s="4" t="s">
        <v>82</v>
      </c>
      <c r="J142" s="4">
        <f>IF(J$126=0,0,SIN(J$126)/J$126*O122)</f>
        <v>0</v>
      </c>
      <c r="K142" s="4" t="s">
        <v>83</v>
      </c>
      <c r="L142" s="4">
        <f>IF(J$126=0,0,(1-SIN(J$126)/$J$126)*J$128/J$126*M122/J$126)</f>
        <v>0</v>
      </c>
      <c r="M142" s="4" t="s">
        <v>84</v>
      </c>
      <c r="N142" s="4">
        <f>IF(J$126=0,0,(2*SIN(0.5*J$126)^2/J$126^2)*(M123*O124-M124*O123))</f>
        <v>0</v>
      </c>
      <c r="Q142" s="4" t="s">
        <v>82</v>
      </c>
      <c r="R142" s="4">
        <f>IF(R$126=0,0,SIN(R$126)/R$126*W122)</f>
        <v>0</v>
      </c>
      <c r="S142" s="4" t="s">
        <v>83</v>
      </c>
      <c r="T142" s="4">
        <f>IF(R$126=0,0,(1-SIN(R$126)/$J$126)*R$128/R$126*U122/R$126)</f>
        <v>0</v>
      </c>
      <c r="U142" s="4" t="s">
        <v>84</v>
      </c>
      <c r="V142" s="4">
        <f>IF(R$126=0,0,(2*SIN(0.5*R$126)^2/R$126^2)*(U123*W124-U124*W123))</f>
        <v>0</v>
      </c>
    </row>
    <row r="143" spans="1:22" x14ac:dyDescent="0.2">
      <c r="B143" s="4">
        <f t="shared" ref="B143:B144" si="65">IF(B$70=0,0,SIN(B$70)/B$70*G123)</f>
        <v>0</v>
      </c>
      <c r="D143" s="4">
        <f t="shared" ref="D143:D144" si="66">IF(B$70=0,0,(1-SIN(B$70)/$B$70)*B$72/B$70*E123/B$70)</f>
        <v>0</v>
      </c>
      <c r="F143" s="4">
        <f>IF(B$70=0,0,(2*SIN(0.5*B$70)^2/B$70^2)*(G122*E124-E122*G124))</f>
        <v>0</v>
      </c>
      <c r="J143" s="4">
        <f>IF(J$126=0,0,SIN(J$126)/J$126*O123)</f>
        <v>1.0147602240176551E-3</v>
      </c>
      <c r="L143" s="4">
        <f t="shared" ref="L143:L144" si="67">IF(J$126=0,0,(1-SIN(J$126)/$J$126)*J$128/J$126*M123/J$126)</f>
        <v>6.2814225897759828</v>
      </c>
      <c r="N143" s="4">
        <f>IF(J$126=0,0,(2*SIN(0.5*J$126)^2/J$126^2)*(O122*M124-M122*O124))</f>
        <v>0</v>
      </c>
      <c r="R143" s="4">
        <f>IF(R$126=0,0,SIN(R$126)/R$126*W123)</f>
        <v>-2.9710694750000001E-5</v>
      </c>
      <c r="T143" s="4">
        <f t="shared" ref="T143:T144" si="68">IF(R$126=0,0,(1-SIN(R$126)/$J$126)*R$128/R$126*U123/R$126)</f>
        <v>-2.9710694746305087E-5</v>
      </c>
      <c r="V143" s="4">
        <f>IF(R$126=0,0,(2*SIN(0.5*R$126)^2/R$126^2)*(W122*U124-U122*W124))</f>
        <v>0</v>
      </c>
    </row>
    <row r="144" spans="1:22" x14ac:dyDescent="0.2">
      <c r="B144" s="4">
        <f t="shared" si="65"/>
        <v>0</v>
      </c>
      <c r="D144" s="4">
        <f t="shared" si="66"/>
        <v>0</v>
      </c>
      <c r="F144" s="4">
        <f>IF(B$70=0,0,(2*SIN(0.5*B$70)^2/B$70^2)*(E122*G123-E123*G122))</f>
        <v>0</v>
      </c>
      <c r="J144" s="4">
        <f>IF(J$126=0,0,SIN(J$126)/J$126*O124)</f>
        <v>0</v>
      </c>
      <c r="L144" s="4">
        <f t="shared" si="67"/>
        <v>0</v>
      </c>
      <c r="N144" s="4">
        <f>IF(J$126=0,0,(2*SIN(0.5*J$126)^2/J$126^2)*(M122*O123-M123*O122))</f>
        <v>0</v>
      </c>
      <c r="R144" s="4">
        <f>IF(R$126=0,0,SIN(R$126)/R$126*W124)</f>
        <v>0</v>
      </c>
      <c r="T144" s="4">
        <f t="shared" si="68"/>
        <v>0</v>
      </c>
      <c r="V144" s="4">
        <f>IF(R$126=0,0,(2*SIN(0.5*R$126)^2/R$126^2)*(U122*W123-U123*W122))</f>
        <v>0</v>
      </c>
    </row>
    <row r="146" spans="1:19" x14ac:dyDescent="0.2">
      <c r="A146" s="4" t="s">
        <v>70</v>
      </c>
      <c r="B146" s="4">
        <f>B142+D142+F142</f>
        <v>0</v>
      </c>
      <c r="I146" s="4" t="s">
        <v>70</v>
      </c>
      <c r="J146" s="4">
        <f>J142+L142+N142</f>
        <v>0</v>
      </c>
      <c r="Q146" s="4" t="s">
        <v>70</v>
      </c>
      <c r="R146" s="4">
        <f>R142+T142+V142</f>
        <v>0</v>
      </c>
    </row>
    <row r="147" spans="1:19" x14ac:dyDescent="0.2">
      <c r="B147" s="4">
        <f t="shared" ref="B147:B148" si="69">B143+D143+F143</f>
        <v>0</v>
      </c>
      <c r="J147" s="4">
        <f t="shared" ref="J147:J148" si="70">J143+L143+N143</f>
        <v>6.2824373500000004</v>
      </c>
      <c r="R147" s="4">
        <f t="shared" ref="R147:R148" si="71">R143+T143+V143</f>
        <v>-5.9421389496305088E-5</v>
      </c>
    </row>
    <row r="148" spans="1:19" x14ac:dyDescent="0.2">
      <c r="B148" s="4">
        <f t="shared" si="69"/>
        <v>0</v>
      </c>
      <c r="J148" s="4">
        <f t="shared" si="70"/>
        <v>0</v>
      </c>
      <c r="R148" s="4">
        <f t="shared" si="71"/>
        <v>0</v>
      </c>
    </row>
    <row r="150" spans="1:19" x14ac:dyDescent="0.2">
      <c r="A150" s="4" t="s">
        <v>85</v>
      </c>
      <c r="B150" s="4">
        <f>B146+B138</f>
        <v>0</v>
      </c>
      <c r="I150" s="4" t="s">
        <v>85</v>
      </c>
      <c r="J150" s="4">
        <f>J146+J138</f>
        <v>0</v>
      </c>
      <c r="Q150" s="4" t="s">
        <v>85</v>
      </c>
      <c r="R150" s="4">
        <f>R146+R138</f>
        <v>0</v>
      </c>
    </row>
    <row r="151" spans="1:19" x14ac:dyDescent="0.2">
      <c r="B151" s="4">
        <f>B147+B139</f>
        <v>0</v>
      </c>
      <c r="J151" s="4">
        <f>J147+J139</f>
        <v>6.2824373500000004</v>
      </c>
      <c r="R151" s="4">
        <f>R147+R139</f>
        <v>6.2823779286105044</v>
      </c>
    </row>
    <row r="152" spans="1:19" x14ac:dyDescent="0.2">
      <c r="B152" s="4">
        <f>B148+B140</f>
        <v>0</v>
      </c>
      <c r="J152" s="4">
        <f>J148+J140</f>
        <v>0</v>
      </c>
      <c r="R152" s="4">
        <f>R148+R140</f>
        <v>0</v>
      </c>
    </row>
    <row r="154" spans="1:19" x14ac:dyDescent="0.2">
      <c r="A154" s="4" t="s">
        <v>86</v>
      </c>
      <c r="B154" s="4">
        <v>0</v>
      </c>
      <c r="C154" s="4">
        <v>0</v>
      </c>
      <c r="I154" s="4" t="s">
        <v>86</v>
      </c>
      <c r="J154" s="4">
        <f>D291</f>
        <v>0.50256372000000005</v>
      </c>
      <c r="K154" s="4">
        <f>E291</f>
        <v>1.13078078</v>
      </c>
      <c r="Q154" s="4" t="s">
        <v>86</v>
      </c>
      <c r="R154" s="4">
        <f>L291</f>
        <v>0.42077218000000005</v>
      </c>
      <c r="S154" s="4">
        <f>M291</f>
        <v>0.42067087000000003</v>
      </c>
    </row>
    <row r="155" spans="1:19" x14ac:dyDescent="0.2">
      <c r="B155" s="4">
        <v>0</v>
      </c>
      <c r="C155" s="4">
        <v>0</v>
      </c>
      <c r="J155" s="4">
        <f t="shared" ref="J155:K156" si="72">D292</f>
        <v>0</v>
      </c>
      <c r="K155" s="4">
        <f t="shared" si="72"/>
        <v>0</v>
      </c>
      <c r="R155" s="4">
        <f t="shared" ref="R155:R156" si="73">L292</f>
        <v>0</v>
      </c>
      <c r="S155" s="4">
        <f t="shared" ref="S155:S156" si="74">M292</f>
        <v>0</v>
      </c>
    </row>
    <row r="156" spans="1:19" x14ac:dyDescent="0.2">
      <c r="B156" s="4">
        <v>0.4</v>
      </c>
      <c r="C156" s="4">
        <v>0.6</v>
      </c>
      <c r="J156" s="4">
        <f t="shared" si="72"/>
        <v>0.4</v>
      </c>
      <c r="K156" s="4">
        <f t="shared" si="72"/>
        <v>0.6</v>
      </c>
      <c r="R156" s="4">
        <f t="shared" si="73"/>
        <v>9.9051500000000015E-2</v>
      </c>
      <c r="S156" s="4">
        <f t="shared" si="74"/>
        <v>0.29873271999999995</v>
      </c>
    </row>
    <row r="158" spans="1:19" x14ac:dyDescent="0.2">
      <c r="A158" s="4" t="s">
        <v>87</v>
      </c>
      <c r="B158" s="4">
        <f>B154*$B$3+C154*$C$3</f>
        <v>0</v>
      </c>
      <c r="I158" s="4" t="s">
        <v>87</v>
      </c>
      <c r="J158" s="4">
        <f>J154*$B$3+K154*$C$3</f>
        <v>3.1410853000000003</v>
      </c>
      <c r="Q158" s="4" t="s">
        <v>87</v>
      </c>
      <c r="R158" s="4">
        <f>R154*$B$3+S154*$C$3</f>
        <v>-5.0655000000032757E-4</v>
      </c>
    </row>
    <row r="159" spans="1:19" x14ac:dyDescent="0.2">
      <c r="B159" s="4">
        <f t="shared" ref="B159:B160" si="75">B155*$B$3+C155*$C$3</f>
        <v>0</v>
      </c>
      <c r="J159" s="4">
        <f t="shared" ref="J159:J160" si="76">J155*$B$3+K155*$C$3</f>
        <v>0</v>
      </c>
      <c r="R159" s="4">
        <f t="shared" ref="R159:R160" si="77">R155*$B$3+S155*$C$3</f>
        <v>0</v>
      </c>
    </row>
    <row r="160" spans="1:19" x14ac:dyDescent="0.2">
      <c r="B160" s="4">
        <f t="shared" si="75"/>
        <v>1</v>
      </c>
      <c r="J160" s="4">
        <f t="shared" si="76"/>
        <v>1</v>
      </c>
      <c r="R160" s="4">
        <f t="shared" si="77"/>
        <v>0.99840609999999952</v>
      </c>
    </row>
    <row r="162" spans="1:23" x14ac:dyDescent="0.2">
      <c r="A162" s="5" t="s">
        <v>88</v>
      </c>
      <c r="B162" s="5">
        <v>1</v>
      </c>
      <c r="C162" s="5">
        <v>0</v>
      </c>
      <c r="D162" s="5">
        <v>0</v>
      </c>
      <c r="I162" s="5" t="s">
        <v>88</v>
      </c>
      <c r="J162" s="5">
        <v>0.99999991799999999</v>
      </c>
      <c r="K162" s="5">
        <v>0</v>
      </c>
      <c r="L162" s="5">
        <v>-4.0541857900000002E-4</v>
      </c>
      <c r="Q162" s="5" t="s">
        <v>88</v>
      </c>
      <c r="R162" s="5">
        <v>0.99999991799999999</v>
      </c>
      <c r="S162" s="5">
        <v>0</v>
      </c>
      <c r="T162" s="5">
        <v>-4.0541857900000002E-4</v>
      </c>
    </row>
    <row r="163" spans="1:23" x14ac:dyDescent="0.2">
      <c r="A163" s="5"/>
      <c r="B163" s="5">
        <v>0</v>
      </c>
      <c r="C163" s="5">
        <v>1</v>
      </c>
      <c r="D163" s="5">
        <v>0</v>
      </c>
      <c r="I163" s="5"/>
      <c r="J163" s="5">
        <v>0</v>
      </c>
      <c r="K163" s="5">
        <v>1</v>
      </c>
      <c r="L163" s="5">
        <v>0</v>
      </c>
      <c r="Q163" s="5"/>
      <c r="R163" s="5">
        <v>0</v>
      </c>
      <c r="S163" s="5">
        <v>1</v>
      </c>
      <c r="T163" s="5">
        <v>0</v>
      </c>
    </row>
    <row r="164" spans="1:23" x14ac:dyDescent="0.2">
      <c r="A164" s="5"/>
      <c r="B164" s="5">
        <v>0</v>
      </c>
      <c r="C164" s="5">
        <v>0</v>
      </c>
      <c r="D164" s="5">
        <v>1</v>
      </c>
      <c r="I164" s="5"/>
      <c r="J164" s="5">
        <v>4.0541857900000002E-4</v>
      </c>
      <c r="K164" s="5">
        <v>0</v>
      </c>
      <c r="L164" s="5">
        <v>0.99999991799999999</v>
      </c>
      <c r="Q164" s="5"/>
      <c r="R164" s="5">
        <v>4.0541857900000002E-4</v>
      </c>
      <c r="S164" s="5">
        <v>0</v>
      </c>
      <c r="T164" s="5">
        <v>0.99999991799999999</v>
      </c>
    </row>
    <row r="166" spans="1:23" x14ac:dyDescent="0.2">
      <c r="A166" s="4" t="s">
        <v>69</v>
      </c>
      <c r="B166" s="4">
        <f>B158-(B162*0+C162*0+D162*1)</f>
        <v>0</v>
      </c>
      <c r="I166" s="4" t="s">
        <v>69</v>
      </c>
      <c r="J166" s="4">
        <f>J158-(J162*0+K162*0+L162*1)</f>
        <v>3.1414907185790004</v>
      </c>
      <c r="Q166" s="4" t="s">
        <v>69</v>
      </c>
      <c r="R166" s="4">
        <f>R158-(R162*0+S162*0+T162*1)</f>
        <v>-1.0113142100032755E-4</v>
      </c>
    </row>
    <row r="167" spans="1:23" x14ac:dyDescent="0.2">
      <c r="B167" s="4">
        <f t="shared" ref="B167:B168" si="78">B159-(B163*0+C163*0+D163*1)</f>
        <v>0</v>
      </c>
      <c r="J167" s="4">
        <f t="shared" ref="J167:J168" si="79">J159-(J163*0+K163*0+L163*1)</f>
        <v>0</v>
      </c>
      <c r="R167" s="4">
        <f t="shared" ref="R167:R168" si="80">R159-(R163*0+S163*0+T163*1)</f>
        <v>0</v>
      </c>
    </row>
    <row r="168" spans="1:23" x14ac:dyDescent="0.2">
      <c r="B168" s="4">
        <f t="shared" si="78"/>
        <v>0</v>
      </c>
      <c r="J168" s="4">
        <f t="shared" si="79"/>
        <v>8.2000000012349972E-8</v>
      </c>
      <c r="R168" s="4">
        <f t="shared" si="80"/>
        <v>-1.5938180000004687E-3</v>
      </c>
    </row>
    <row r="170" spans="1:23" s="6" customFormat="1" x14ac:dyDescent="0.2">
      <c r="A170" s="8" t="s">
        <v>95</v>
      </c>
      <c r="B170" s="8"/>
      <c r="C170" s="8"/>
      <c r="D170" s="8"/>
      <c r="E170" s="8"/>
      <c r="F170" s="8"/>
      <c r="G170" s="8"/>
      <c r="I170" s="8" t="s">
        <v>95</v>
      </c>
      <c r="J170" s="8"/>
      <c r="K170" s="8"/>
      <c r="L170" s="8"/>
      <c r="M170" s="8"/>
      <c r="N170" s="8"/>
      <c r="O170" s="8"/>
      <c r="Q170" s="8" t="s">
        <v>95</v>
      </c>
      <c r="R170" s="8"/>
      <c r="S170" s="8"/>
      <c r="T170" s="8"/>
      <c r="U170" s="8"/>
      <c r="V170" s="8"/>
      <c r="W170" s="8"/>
    </row>
    <row r="171" spans="1:23" x14ac:dyDescent="0.2">
      <c r="A171" s="4" t="s">
        <v>67</v>
      </c>
      <c r="B171" s="4">
        <v>0.5</v>
      </c>
      <c r="C171" s="4">
        <v>0.5</v>
      </c>
      <c r="I171" s="4" t="s">
        <v>67</v>
      </c>
      <c r="J171" s="4">
        <v>0.5</v>
      </c>
      <c r="K171" s="4">
        <v>0.5</v>
      </c>
      <c r="Q171" s="4" t="s">
        <v>67</v>
      </c>
      <c r="R171" s="4">
        <v>0.5</v>
      </c>
      <c r="S171" s="4">
        <v>0.5</v>
      </c>
    </row>
    <row r="172" spans="1:23" x14ac:dyDescent="0.2">
      <c r="A172" s="4" t="s">
        <v>68</v>
      </c>
      <c r="B172" s="4">
        <v>-5</v>
      </c>
      <c r="C172" s="4">
        <v>5</v>
      </c>
      <c r="I172" s="4" t="s">
        <v>68</v>
      </c>
      <c r="J172" s="4">
        <v>-5</v>
      </c>
      <c r="K172" s="4">
        <v>5</v>
      </c>
      <c r="Q172" s="4" t="s">
        <v>68</v>
      </c>
      <c r="R172" s="4">
        <v>-5</v>
      </c>
      <c r="S172" s="4">
        <v>5</v>
      </c>
    </row>
    <row r="174" spans="1:23" x14ac:dyDescent="0.2">
      <c r="A174" s="4" t="s">
        <v>71</v>
      </c>
      <c r="B174" s="4">
        <v>0</v>
      </c>
      <c r="C174" s="4">
        <v>0</v>
      </c>
      <c r="D174" s="4" t="s">
        <v>73</v>
      </c>
      <c r="E174" s="4">
        <v>0</v>
      </c>
      <c r="F174" s="4">
        <v>0</v>
      </c>
      <c r="I174" s="4" t="s">
        <v>71</v>
      </c>
      <c r="J174" s="4">
        <f>E294</f>
        <v>0</v>
      </c>
      <c r="K174" s="4">
        <f>F294</f>
        <v>0</v>
      </c>
      <c r="L174" s="4" t="s">
        <v>73</v>
      </c>
      <c r="M174" s="4">
        <f>E287</f>
        <v>0</v>
      </c>
      <c r="N174" s="4">
        <f>F287</f>
        <v>0</v>
      </c>
      <c r="Q174" s="4" t="s">
        <v>71</v>
      </c>
      <c r="R174" s="4">
        <f>M294</f>
        <v>0</v>
      </c>
      <c r="S174" s="4">
        <f>N294</f>
        <v>0</v>
      </c>
      <c r="T174" s="4" t="s">
        <v>73</v>
      </c>
      <c r="U174" s="4">
        <f>M287</f>
        <v>0</v>
      </c>
      <c r="V174" s="4">
        <f>N287</f>
        <v>0</v>
      </c>
    </row>
    <row r="175" spans="1:23" x14ac:dyDescent="0.2">
      <c r="B175" s="4">
        <v>0</v>
      </c>
      <c r="C175" s="4">
        <v>0</v>
      </c>
      <c r="E175" s="4">
        <v>0</v>
      </c>
      <c r="F175" s="4">
        <v>0</v>
      </c>
      <c r="J175" s="4">
        <f t="shared" ref="J175:K176" si="81">E295</f>
        <v>-2.5138562800000002</v>
      </c>
      <c r="K175" s="4">
        <f t="shared" si="81"/>
        <v>-1.2573502400000001</v>
      </c>
      <c r="M175" s="4">
        <f t="shared" ref="M175:N176" si="82">E288</f>
        <v>3.7693290300000002</v>
      </c>
      <c r="N175" s="4">
        <f t="shared" si="82"/>
        <v>5.0258350700000003</v>
      </c>
      <c r="R175" s="4">
        <f t="shared" ref="R175:R176" si="83">M295</f>
        <v>-2.5138592499999999</v>
      </c>
      <c r="S175" s="4">
        <f t="shared" ref="S175:S176" si="84">N295</f>
        <v>-1.25732668</v>
      </c>
      <c r="U175" s="4">
        <f t="shared" ref="U175:U176" si="85">M288</f>
        <v>-2.9714601100000002E-6</v>
      </c>
      <c r="V175" s="4">
        <f t="shared" ref="V175:V176" si="86">N288</f>
        <v>2.35574706E-5</v>
      </c>
    </row>
    <row r="176" spans="1:23" x14ac:dyDescent="0.2">
      <c r="B176" s="4">
        <v>0</v>
      </c>
      <c r="C176" s="4">
        <v>0</v>
      </c>
      <c r="E176" s="4">
        <v>0</v>
      </c>
      <c r="F176" s="4">
        <v>0</v>
      </c>
      <c r="J176" s="4">
        <f t="shared" si="81"/>
        <v>0</v>
      </c>
      <c r="K176" s="4">
        <f t="shared" si="81"/>
        <v>0</v>
      </c>
      <c r="M176" s="4">
        <f t="shared" si="82"/>
        <v>0</v>
      </c>
      <c r="N176" s="4">
        <f t="shared" si="82"/>
        <v>0</v>
      </c>
      <c r="R176" s="4">
        <f t="shared" si="83"/>
        <v>0</v>
      </c>
      <c r="S176" s="4">
        <f t="shared" si="84"/>
        <v>0</v>
      </c>
      <c r="U176" s="4">
        <f t="shared" si="85"/>
        <v>0</v>
      </c>
      <c r="V176" s="4">
        <f t="shared" si="86"/>
        <v>0</v>
      </c>
    </row>
    <row r="178" spans="1:23" x14ac:dyDescent="0.2">
      <c r="A178" s="4" t="s">
        <v>72</v>
      </c>
      <c r="B178" s="4">
        <v>0</v>
      </c>
      <c r="D178" s="4" t="s">
        <v>74</v>
      </c>
      <c r="E178" s="4">
        <v>0</v>
      </c>
      <c r="F178" s="4" t="s">
        <v>75</v>
      </c>
      <c r="G178" s="4">
        <v>0</v>
      </c>
      <c r="I178" s="4" t="s">
        <v>72</v>
      </c>
      <c r="J178" s="4">
        <f>J174*$B$2+K174*$C$2</f>
        <v>0</v>
      </c>
      <c r="L178" s="4" t="s">
        <v>74</v>
      </c>
      <c r="M178" s="4">
        <f>M174*$B$2+N174*$C$2</f>
        <v>0</v>
      </c>
      <c r="N178" s="4" t="s">
        <v>75</v>
      </c>
      <c r="O178" s="4">
        <f>M174*$B$3+N174*$C$3</f>
        <v>0</v>
      </c>
      <c r="Q178" s="4" t="s">
        <v>72</v>
      </c>
      <c r="R178" s="4">
        <f>R174*$B$2+S174*$C$2</f>
        <v>0</v>
      </c>
      <c r="T178" s="4" t="s">
        <v>74</v>
      </c>
      <c r="U178" s="4">
        <f>U174*$B$2+V174*$C$2</f>
        <v>0</v>
      </c>
      <c r="V178" s="4" t="s">
        <v>75</v>
      </c>
      <c r="W178" s="4">
        <f>U174*$B$3+V174*$C$3</f>
        <v>0</v>
      </c>
    </row>
    <row r="179" spans="1:23" x14ac:dyDescent="0.2">
      <c r="B179" s="4">
        <v>0</v>
      </c>
      <c r="E179" s="4">
        <v>0</v>
      </c>
      <c r="G179" s="4">
        <v>0</v>
      </c>
      <c r="J179" s="4">
        <f t="shared" ref="J179:J180" si="87">J175*$B$2+K175*$C$2</f>
        <v>-1.8856032600000001</v>
      </c>
      <c r="M179" s="4">
        <f t="shared" ref="M179:M180" si="88">M175*$B$2+N175*$C$2</f>
        <v>4.3975820500000005</v>
      </c>
      <c r="O179" s="4">
        <f t="shared" ref="O179:O180" si="89">M175*$B$3+N175*$C$3</f>
        <v>6.2825302000000001</v>
      </c>
      <c r="R179" s="4">
        <f t="shared" ref="R179:R180" si="90">R175*$B$2+S175*$C$2</f>
        <v>-1.8855929649999998</v>
      </c>
      <c r="U179" s="4">
        <f t="shared" ref="U179:U180" si="91">U175*$B$2+V175*$C$2</f>
        <v>1.0293005245000001E-5</v>
      </c>
      <c r="W179" s="4">
        <f t="shared" ref="W179:W180" si="92">U175*$B$3+V175*$C$3</f>
        <v>1.3264465354999999E-4</v>
      </c>
    </row>
    <row r="180" spans="1:23" x14ac:dyDescent="0.2">
      <c r="B180" s="4">
        <v>0</v>
      </c>
      <c r="E180" s="4">
        <v>0</v>
      </c>
      <c r="G180" s="4">
        <v>0</v>
      </c>
      <c r="J180" s="4">
        <f t="shared" si="87"/>
        <v>0</v>
      </c>
      <c r="M180" s="4">
        <f t="shared" si="88"/>
        <v>0</v>
      </c>
      <c r="O180" s="4">
        <f t="shared" si="89"/>
        <v>0</v>
      </c>
      <c r="R180" s="4">
        <f t="shared" si="90"/>
        <v>0</v>
      </c>
      <c r="U180" s="4">
        <f t="shared" si="91"/>
        <v>0</v>
      </c>
      <c r="W180" s="4">
        <f t="shared" si="92"/>
        <v>0</v>
      </c>
    </row>
    <row r="182" spans="1:23" x14ac:dyDescent="0.2">
      <c r="A182" s="4" t="s">
        <v>76</v>
      </c>
      <c r="B182" s="4">
        <v>0</v>
      </c>
      <c r="I182" s="4" t="s">
        <v>76</v>
      </c>
      <c r="J182" s="4">
        <f>SQRT(M178^2+M179^2+M180^2)</f>
        <v>4.3975820500000005</v>
      </c>
      <c r="Q182" s="4" t="s">
        <v>76</v>
      </c>
      <c r="R182" s="4">
        <f>SQRT(U178^2+U179^2+U180^2)</f>
        <v>1.0293005245000001E-5</v>
      </c>
    </row>
    <row r="184" spans="1:23" x14ac:dyDescent="0.2">
      <c r="A184" s="4" t="s">
        <v>77</v>
      </c>
      <c r="B184" s="4">
        <v>0</v>
      </c>
      <c r="I184" s="4" t="s">
        <v>77</v>
      </c>
      <c r="J184" s="4">
        <f>M178*O178+M179*O179+M180*O180</f>
        <v>27.627942036102912</v>
      </c>
      <c r="Q184" s="4" t="s">
        <v>77</v>
      </c>
      <c r="R184" s="4">
        <f>U178*W178+U179*W179+U180*W180</f>
        <v>1.3653121147113579E-9</v>
      </c>
    </row>
    <row r="186" spans="1:23" x14ac:dyDescent="0.2">
      <c r="A186" s="9" t="s">
        <v>79</v>
      </c>
      <c r="B186" s="9">
        <v>1</v>
      </c>
      <c r="C186" s="9">
        <v>0</v>
      </c>
      <c r="D186" s="9">
        <v>0</v>
      </c>
      <c r="I186" s="9" t="s">
        <v>79</v>
      </c>
      <c r="J186" s="9">
        <v>-0.30937672999999999</v>
      </c>
      <c r="K186" s="9">
        <v>0</v>
      </c>
      <c r="L186" s="9">
        <v>-0.95093956000000002</v>
      </c>
      <c r="Q186" s="9" t="s">
        <v>79</v>
      </c>
      <c r="R186" s="9">
        <v>-0.30937672999999999</v>
      </c>
      <c r="S186" s="9">
        <v>0</v>
      </c>
      <c r="T186" s="9">
        <v>-0.95093956000000002</v>
      </c>
    </row>
    <row r="187" spans="1:23" x14ac:dyDescent="0.2">
      <c r="A187" s="9"/>
      <c r="B187" s="9">
        <v>0</v>
      </c>
      <c r="C187" s="9">
        <v>1</v>
      </c>
      <c r="D187" s="9">
        <v>0</v>
      </c>
      <c r="I187" s="9"/>
      <c r="J187" s="9">
        <v>0</v>
      </c>
      <c r="K187" s="9">
        <v>1</v>
      </c>
      <c r="L187" s="9">
        <v>0</v>
      </c>
      <c r="Q187" s="9"/>
      <c r="R187" s="9">
        <v>0</v>
      </c>
      <c r="S187" s="9">
        <v>1</v>
      </c>
      <c r="T187" s="9">
        <v>0</v>
      </c>
    </row>
    <row r="188" spans="1:23" x14ac:dyDescent="0.2">
      <c r="A188" s="9"/>
      <c r="B188" s="9">
        <v>0</v>
      </c>
      <c r="C188" s="9">
        <v>0</v>
      </c>
      <c r="D188" s="9">
        <v>1</v>
      </c>
      <c r="I188" s="9"/>
      <c r="J188" s="9">
        <v>0.95093956000000002</v>
      </c>
      <c r="K188" s="9">
        <v>0</v>
      </c>
      <c r="L188" s="9">
        <v>-0.30937672999999999</v>
      </c>
      <c r="Q188" s="9"/>
      <c r="R188" s="9">
        <v>0.95093956000000002</v>
      </c>
      <c r="S188" s="9">
        <v>0</v>
      </c>
      <c r="T188" s="9">
        <v>-0.30937672999999999</v>
      </c>
    </row>
    <row r="190" spans="1:23" x14ac:dyDescent="0.2">
      <c r="A190" s="4" t="s">
        <v>81</v>
      </c>
      <c r="B190" s="4">
        <v>0</v>
      </c>
      <c r="I190" s="4" t="s">
        <v>81</v>
      </c>
      <c r="J190" s="4">
        <f>B206</f>
        <v>0</v>
      </c>
      <c r="Q190" s="4" t="s">
        <v>81</v>
      </c>
      <c r="R190" s="4">
        <f>J206</f>
        <v>0</v>
      </c>
    </row>
    <row r="191" spans="1:23" x14ac:dyDescent="0.2">
      <c r="B191" s="4">
        <v>0</v>
      </c>
      <c r="J191" s="4">
        <f t="shared" ref="J191:J192" si="93">B207</f>
        <v>0</v>
      </c>
      <c r="R191" s="4">
        <f t="shared" ref="R191:R192" si="94">J207</f>
        <v>6.2825302000000001</v>
      </c>
    </row>
    <row r="192" spans="1:23" x14ac:dyDescent="0.2">
      <c r="B192" s="4">
        <v>0</v>
      </c>
      <c r="J192" s="4">
        <f t="shared" si="93"/>
        <v>0</v>
      </c>
      <c r="R192" s="4">
        <f t="shared" si="94"/>
        <v>0</v>
      </c>
    </row>
    <row r="194" spans="1:22" x14ac:dyDescent="0.2">
      <c r="A194" s="4" t="s">
        <v>80</v>
      </c>
      <c r="B194" s="4">
        <v>0</v>
      </c>
      <c r="I194" s="4" t="s">
        <v>80</v>
      </c>
      <c r="J194" s="4">
        <f>J186*J$190+K186*J$191+L186*J$192</f>
        <v>0</v>
      </c>
      <c r="Q194" s="4" t="s">
        <v>80</v>
      </c>
      <c r="R194" s="4">
        <f>R186*R$190+S186*R$191+T186*R$192</f>
        <v>0</v>
      </c>
    </row>
    <row r="195" spans="1:22" x14ac:dyDescent="0.2">
      <c r="B195" s="4">
        <v>0</v>
      </c>
      <c r="J195" s="4">
        <f t="shared" ref="J195:J196" si="95">J187*J$190+K187*J$191+L187*J$192</f>
        <v>0</v>
      </c>
      <c r="R195" s="4">
        <f t="shared" ref="R195:R196" si="96">R187*R$190+S187*R$191+T187*R$192</f>
        <v>6.2825302000000001</v>
      </c>
    </row>
    <row r="196" spans="1:22" x14ac:dyDescent="0.2">
      <c r="B196" s="4">
        <v>0</v>
      </c>
      <c r="J196" s="4">
        <f t="shared" si="95"/>
        <v>0</v>
      </c>
      <c r="R196" s="4">
        <f t="shared" si="96"/>
        <v>0</v>
      </c>
    </row>
    <row r="198" spans="1:22" x14ac:dyDescent="0.2">
      <c r="A198" s="4" t="s">
        <v>82</v>
      </c>
      <c r="B198" s="4">
        <v>0</v>
      </c>
      <c r="C198" s="4" t="s">
        <v>83</v>
      </c>
      <c r="D198" s="4">
        <v>0</v>
      </c>
      <c r="E198" s="4" t="s">
        <v>84</v>
      </c>
      <c r="F198" s="4">
        <v>0</v>
      </c>
      <c r="I198" s="4" t="s">
        <v>82</v>
      </c>
      <c r="J198" s="4">
        <f>IF(J$182=0,0,SIN(J$182)/J$182*O178)</f>
        <v>0</v>
      </c>
      <c r="K198" s="4" t="s">
        <v>83</v>
      </c>
      <c r="L198" s="4">
        <f>IF(J$182=0,0,(1-SIN(J$182)/$J$182)*J$184/J$182*M178/J$182)</f>
        <v>0</v>
      </c>
      <c r="M198" s="4" t="s">
        <v>84</v>
      </c>
      <c r="N198" s="4">
        <f>IF(J$182=0,0,(2*SIN(0.5*J$182)^2/J$182^2)*(M179*O180-M180*O179))</f>
        <v>0</v>
      </c>
      <c r="Q198" s="4" t="s">
        <v>82</v>
      </c>
      <c r="R198" s="4">
        <f>IF(R$182=0,0,SIN(R$182)/R$182*W178)</f>
        <v>0</v>
      </c>
      <c r="S198" s="4" t="s">
        <v>83</v>
      </c>
      <c r="T198" s="4">
        <f>IF(R$182=0,0,(1-SIN(R$182)/$J$182)*R$184/R$182*U178/R$182)</f>
        <v>0</v>
      </c>
      <c r="U198" s="4" t="s">
        <v>84</v>
      </c>
      <c r="V198" s="4">
        <f>IF(R$182=0,0,(2*SIN(0.5*R$182)^2/R$182^2)*(U179*W180-U180*W179))</f>
        <v>0</v>
      </c>
    </row>
    <row r="199" spans="1:22" x14ac:dyDescent="0.2">
      <c r="B199" s="4">
        <v>0</v>
      </c>
      <c r="D199" s="4">
        <v>0</v>
      </c>
      <c r="F199" s="4">
        <v>0</v>
      </c>
      <c r="J199" s="4">
        <f t="shared" ref="J199:J200" si="97">IF(J$182=0,0,SIN(J$182)/J$182*O179)</f>
        <v>-1.3584243755027403</v>
      </c>
      <c r="L199" s="4">
        <f t="shared" ref="L199:L200" si="98">IF(J$182=0,0,(1-SIN(J$182)/$J$182)*J$184/J$182*M179/J$182)</f>
        <v>7.6409545755027404</v>
      </c>
      <c r="N199" s="4">
        <f>IF(J$182=0,0,(2*SIN(0.5*J$182)^2/J$182^2)*(O178*M180-M178*O180))</f>
        <v>0</v>
      </c>
      <c r="R199" s="4">
        <f t="shared" ref="R199:R200" si="99">IF(R$182=0,0,SIN(R$182)/R$182*W179)</f>
        <v>1.3264465354765782E-4</v>
      </c>
      <c r="T199" s="4">
        <f t="shared" ref="T199:T200" si="100">IF(R$182=0,0,(1-SIN(R$182)/$J$182)*R$184/R$182*U179/R$182)</f>
        <v>1.326443430811789E-4</v>
      </c>
      <c r="V199" s="4">
        <f>IF(R$182=0,0,(2*SIN(0.5*R$182)^2/R$182^2)*(W178*U180-U178*W180))</f>
        <v>0</v>
      </c>
    </row>
    <row r="200" spans="1:22" x14ac:dyDescent="0.2">
      <c r="B200" s="4">
        <v>0</v>
      </c>
      <c r="D200" s="4">
        <v>0</v>
      </c>
      <c r="F200" s="4">
        <v>0</v>
      </c>
      <c r="J200" s="4">
        <f t="shared" si="97"/>
        <v>0</v>
      </c>
      <c r="L200" s="4">
        <f t="shared" si="98"/>
        <v>0</v>
      </c>
      <c r="N200" s="4">
        <f>IF(J$182=0,0,(2*SIN(0.5*J$182)^2/J$182^2)*(M178*O179-M179*O178))</f>
        <v>0</v>
      </c>
      <c r="R200" s="4">
        <f t="shared" si="99"/>
        <v>0</v>
      </c>
      <c r="T200" s="4">
        <f t="shared" si="100"/>
        <v>0</v>
      </c>
      <c r="V200" s="4">
        <f>IF(R$182=0,0,(2*SIN(0.5*R$182)^2/R$182^2)*(U178*W179-U179*W178))</f>
        <v>0</v>
      </c>
    </row>
    <row r="202" spans="1:22" x14ac:dyDescent="0.2">
      <c r="A202" s="4" t="s">
        <v>70</v>
      </c>
      <c r="B202" s="4">
        <v>0</v>
      </c>
      <c r="I202" s="4" t="s">
        <v>70</v>
      </c>
      <c r="J202" s="4">
        <f>J198+L198+N198</f>
        <v>0</v>
      </c>
      <c r="Q202" s="4" t="s">
        <v>70</v>
      </c>
      <c r="R202" s="4">
        <f>R198+T198+V198</f>
        <v>0</v>
      </c>
    </row>
    <row r="203" spans="1:22" x14ac:dyDescent="0.2">
      <c r="B203" s="4">
        <v>0</v>
      </c>
      <c r="J203" s="4">
        <f t="shared" ref="J203:J204" si="101">J199+L199+N199</f>
        <v>6.2825302000000001</v>
      </c>
      <c r="R203" s="4">
        <f t="shared" ref="R203:R204" si="102">R199+T199+V199</f>
        <v>2.6528899662883672E-4</v>
      </c>
    </row>
    <row r="204" spans="1:22" x14ac:dyDescent="0.2">
      <c r="B204" s="4">
        <v>0</v>
      </c>
      <c r="J204" s="4">
        <f t="shared" si="101"/>
        <v>0</v>
      </c>
      <c r="R204" s="4">
        <f t="shared" si="102"/>
        <v>0</v>
      </c>
    </row>
    <row r="206" spans="1:22" x14ac:dyDescent="0.2">
      <c r="A206" s="4" t="s">
        <v>85</v>
      </c>
      <c r="B206" s="4">
        <v>0</v>
      </c>
      <c r="I206" s="4" t="s">
        <v>85</v>
      </c>
      <c r="J206" s="4">
        <f>J202+J194</f>
        <v>0</v>
      </c>
      <c r="Q206" s="4" t="s">
        <v>85</v>
      </c>
      <c r="R206" s="4">
        <f>R202+R194</f>
        <v>0</v>
      </c>
    </row>
    <row r="207" spans="1:22" x14ac:dyDescent="0.2">
      <c r="B207" s="4">
        <v>0</v>
      </c>
      <c r="J207" s="4">
        <f>J203+J195</f>
        <v>6.2825302000000001</v>
      </c>
      <c r="R207" s="4">
        <f>R203+R195</f>
        <v>6.2827954889966291</v>
      </c>
    </row>
    <row r="208" spans="1:22" x14ac:dyDescent="0.2">
      <c r="B208" s="4">
        <v>0</v>
      </c>
      <c r="J208" s="4">
        <f>J204+J196</f>
        <v>0</v>
      </c>
      <c r="R208" s="4">
        <f>R204+R196</f>
        <v>0</v>
      </c>
    </row>
    <row r="210" spans="1:20" x14ac:dyDescent="0.2">
      <c r="A210" s="4" t="s">
        <v>86</v>
      </c>
      <c r="B210" s="4">
        <v>0</v>
      </c>
      <c r="C210" s="4">
        <v>0</v>
      </c>
      <c r="I210" s="4" t="s">
        <v>86</v>
      </c>
      <c r="J210" s="4">
        <f>E291</f>
        <v>1.13078078</v>
      </c>
      <c r="K210" s="4">
        <f>F291</f>
        <v>2.0102971900000002</v>
      </c>
      <c r="Q210" s="4" t="s">
        <v>86</v>
      </c>
      <c r="R210" s="4">
        <f>M291</f>
        <v>0.42067087000000003</v>
      </c>
      <c r="S210" s="4">
        <f>N291</f>
        <v>1.2747511400000002</v>
      </c>
    </row>
    <row r="211" spans="1:20" x14ac:dyDescent="0.2">
      <c r="B211" s="4">
        <v>0</v>
      </c>
      <c r="C211" s="4">
        <v>0</v>
      </c>
      <c r="J211" s="4">
        <f t="shared" ref="J211:K212" si="103">E292</f>
        <v>0</v>
      </c>
      <c r="K211" s="4">
        <f t="shared" si="103"/>
        <v>0</v>
      </c>
      <c r="R211" s="4">
        <f t="shared" ref="R211:R212" si="104">M292</f>
        <v>0</v>
      </c>
      <c r="S211" s="4">
        <f t="shared" ref="S211:S212" si="105">N292</f>
        <v>0</v>
      </c>
    </row>
    <row r="212" spans="1:20" x14ac:dyDescent="0.2">
      <c r="B212" s="4">
        <v>0.6</v>
      </c>
      <c r="C212" s="4">
        <v>0.8</v>
      </c>
      <c r="J212" s="4">
        <f t="shared" si="103"/>
        <v>0.6</v>
      </c>
      <c r="K212" s="4">
        <f t="shared" si="103"/>
        <v>0.8</v>
      </c>
      <c r="R212" s="4">
        <f t="shared" si="104"/>
        <v>0.29873271999999995</v>
      </c>
      <c r="S212" s="4">
        <f t="shared" si="105"/>
        <v>0.57684219000000003</v>
      </c>
    </row>
    <row r="214" spans="1:20" x14ac:dyDescent="0.2">
      <c r="A214" s="4" t="s">
        <v>87</v>
      </c>
      <c r="B214" s="4">
        <v>0</v>
      </c>
      <c r="I214" s="4" t="s">
        <v>87</v>
      </c>
      <c r="J214" s="4">
        <f>J210*$B$3+K210*$C$3</f>
        <v>4.3975820499999996</v>
      </c>
      <c r="Q214" s="4" t="s">
        <v>87</v>
      </c>
      <c r="R214" s="4">
        <f>R210*$B$3+S210*$C$3</f>
        <v>4.2704013500000011</v>
      </c>
    </row>
    <row r="215" spans="1:20" x14ac:dyDescent="0.2">
      <c r="B215" s="4">
        <v>0</v>
      </c>
      <c r="J215" s="4">
        <f t="shared" ref="J215:J216" si="106">J211*$B$3+K211*$C$3</f>
        <v>0</v>
      </c>
      <c r="R215" s="4">
        <f t="shared" ref="R215:R216" si="107">R211*$B$3+S211*$C$3</f>
        <v>0</v>
      </c>
    </row>
    <row r="216" spans="1:20" x14ac:dyDescent="0.2">
      <c r="B216" s="4">
        <v>1</v>
      </c>
      <c r="J216" s="4">
        <f t="shared" si="106"/>
        <v>1</v>
      </c>
      <c r="R216" s="4">
        <f t="shared" si="107"/>
        <v>1.3905473500000003</v>
      </c>
    </row>
    <row r="218" spans="1:20" x14ac:dyDescent="0.2">
      <c r="A218" s="9" t="s">
        <v>88</v>
      </c>
      <c r="B218" s="9">
        <v>1</v>
      </c>
      <c r="C218" s="9">
        <v>0</v>
      </c>
      <c r="D218" s="9">
        <v>0</v>
      </c>
      <c r="I218" s="9" t="s">
        <v>88</v>
      </c>
      <c r="J218" s="9">
        <v>-0.30937672999999999</v>
      </c>
      <c r="K218" s="9">
        <v>0</v>
      </c>
      <c r="L218" s="9">
        <v>-0.95093956000000002</v>
      </c>
      <c r="Q218" s="9" t="s">
        <v>88</v>
      </c>
      <c r="R218" s="9">
        <v>-0.30937672999999999</v>
      </c>
      <c r="S218" s="9">
        <v>0</v>
      </c>
      <c r="T218" s="9">
        <v>-0.95093956000000002</v>
      </c>
    </row>
    <row r="219" spans="1:20" x14ac:dyDescent="0.2">
      <c r="A219" s="9"/>
      <c r="B219" s="9">
        <v>0</v>
      </c>
      <c r="C219" s="9">
        <v>1</v>
      </c>
      <c r="D219" s="9">
        <v>0</v>
      </c>
      <c r="I219" s="9"/>
      <c r="J219" s="9">
        <v>0</v>
      </c>
      <c r="K219" s="9">
        <v>1</v>
      </c>
      <c r="L219" s="9">
        <v>0</v>
      </c>
      <c r="Q219" s="9"/>
      <c r="R219" s="9">
        <v>0</v>
      </c>
      <c r="S219" s="9">
        <v>1</v>
      </c>
      <c r="T219" s="9">
        <v>0</v>
      </c>
    </row>
    <row r="220" spans="1:20" x14ac:dyDescent="0.2">
      <c r="A220" s="9"/>
      <c r="B220" s="9">
        <v>0</v>
      </c>
      <c r="C220" s="9">
        <v>0</v>
      </c>
      <c r="D220" s="9">
        <v>1</v>
      </c>
      <c r="I220" s="9"/>
      <c r="J220" s="9">
        <v>0.95093956000000002</v>
      </c>
      <c r="K220" s="9">
        <v>0</v>
      </c>
      <c r="L220" s="9">
        <v>-0.30937672999999999</v>
      </c>
      <c r="Q220" s="9"/>
      <c r="R220" s="9">
        <v>0.95093956000000002</v>
      </c>
      <c r="S220" s="9">
        <v>0</v>
      </c>
      <c r="T220" s="9">
        <v>-0.30937672999999999</v>
      </c>
    </row>
    <row r="222" spans="1:20" x14ac:dyDescent="0.2">
      <c r="A222" s="4" t="s">
        <v>69</v>
      </c>
      <c r="B222" s="4">
        <v>0</v>
      </c>
      <c r="I222" s="4" t="s">
        <v>69</v>
      </c>
      <c r="J222" s="4">
        <f>J214-(J218*0+K218*0+L218*1)</f>
        <v>5.3485216099999997</v>
      </c>
      <c r="Q222" s="4" t="s">
        <v>69</v>
      </c>
      <c r="R222" s="4">
        <f>R214-(R218*0+S218*0+T218*1)</f>
        <v>5.2213409100000012</v>
      </c>
    </row>
    <row r="223" spans="1:20" x14ac:dyDescent="0.2">
      <c r="B223" s="4">
        <v>0</v>
      </c>
      <c r="J223" s="4">
        <f t="shared" ref="J223:J224" si="108">J215-(J219*0+K219*0+L219*1)</f>
        <v>0</v>
      </c>
      <c r="R223" s="4">
        <f t="shared" ref="R223:R224" si="109">R215-(R219*0+S219*0+T219*1)</f>
        <v>0</v>
      </c>
    </row>
    <row r="224" spans="1:20" x14ac:dyDescent="0.2">
      <c r="B224" s="4">
        <v>0</v>
      </c>
      <c r="J224" s="4">
        <f t="shared" si="108"/>
        <v>1.3093767299999999</v>
      </c>
      <c r="R224" s="4">
        <f t="shared" si="109"/>
        <v>1.6999240800000002</v>
      </c>
    </row>
    <row r="226" spans="1:23" s="6" customFormat="1" x14ac:dyDescent="0.2">
      <c r="A226" s="8" t="s">
        <v>96</v>
      </c>
      <c r="B226" s="8"/>
      <c r="C226" s="8"/>
      <c r="D226" s="8"/>
      <c r="E226" s="8"/>
      <c r="F226" s="8"/>
      <c r="G226" s="8"/>
      <c r="I226" s="8" t="s">
        <v>96</v>
      </c>
      <c r="J226" s="8"/>
      <c r="K226" s="8"/>
      <c r="L226" s="8"/>
      <c r="M226" s="8"/>
      <c r="N226" s="8"/>
      <c r="O226" s="8"/>
      <c r="Q226" s="8" t="s">
        <v>96</v>
      </c>
      <c r="R226" s="8"/>
      <c r="S226" s="8"/>
      <c r="T226" s="8"/>
      <c r="U226" s="8"/>
      <c r="V226" s="8"/>
      <c r="W226" s="8"/>
    </row>
    <row r="227" spans="1:23" x14ac:dyDescent="0.2">
      <c r="A227" s="4" t="s">
        <v>67</v>
      </c>
      <c r="B227" s="4">
        <v>0.5</v>
      </c>
      <c r="C227" s="4">
        <v>0.5</v>
      </c>
      <c r="I227" s="4" t="s">
        <v>67</v>
      </c>
      <c r="J227" s="4">
        <v>0.5</v>
      </c>
      <c r="K227" s="4">
        <v>0.5</v>
      </c>
      <c r="Q227" s="4" t="s">
        <v>67</v>
      </c>
      <c r="R227" s="4">
        <v>0.5</v>
      </c>
      <c r="S227" s="4">
        <v>0.5</v>
      </c>
    </row>
    <row r="228" spans="1:23" x14ac:dyDescent="0.2">
      <c r="A228" s="4" t="s">
        <v>68</v>
      </c>
      <c r="B228" s="4">
        <v>-5</v>
      </c>
      <c r="C228" s="4">
        <v>5</v>
      </c>
      <c r="I228" s="4" t="s">
        <v>68</v>
      </c>
      <c r="J228" s="4">
        <v>-5</v>
      </c>
      <c r="K228" s="4">
        <v>5</v>
      </c>
      <c r="Q228" s="4" t="s">
        <v>68</v>
      </c>
      <c r="R228" s="4">
        <v>-5</v>
      </c>
      <c r="S228" s="4">
        <v>5</v>
      </c>
    </row>
    <row r="230" spans="1:23" x14ac:dyDescent="0.2">
      <c r="A230" s="4" t="s">
        <v>71</v>
      </c>
      <c r="B230" s="4">
        <v>0</v>
      </c>
      <c r="C230" s="4">
        <v>0</v>
      </c>
      <c r="D230" s="4" t="s">
        <v>73</v>
      </c>
      <c r="E230" s="4">
        <v>0</v>
      </c>
      <c r="F230" s="4">
        <v>0</v>
      </c>
      <c r="I230" s="4" t="s">
        <v>71</v>
      </c>
      <c r="J230" s="4">
        <f>F294</f>
        <v>0</v>
      </c>
      <c r="K230" s="4">
        <f>G294</f>
        <v>0</v>
      </c>
      <c r="L230" s="4" t="s">
        <v>73</v>
      </c>
      <c r="M230" s="4">
        <f>F287</f>
        <v>0</v>
      </c>
      <c r="N230" s="4">
        <f>G287</f>
        <v>0</v>
      </c>
      <c r="Q230" s="4" t="s">
        <v>71</v>
      </c>
      <c r="R230" s="4">
        <f>N294</f>
        <v>0</v>
      </c>
      <c r="S230" s="4">
        <f>O294</f>
        <v>0</v>
      </c>
      <c r="T230" s="4" t="s">
        <v>73</v>
      </c>
      <c r="U230" s="4">
        <f>N287</f>
        <v>0</v>
      </c>
      <c r="V230" s="4">
        <f>O287</f>
        <v>0</v>
      </c>
    </row>
    <row r="231" spans="1:23" x14ac:dyDescent="0.2">
      <c r="B231" s="4">
        <v>0</v>
      </c>
      <c r="C231" s="4">
        <v>0</v>
      </c>
      <c r="E231" s="4">
        <v>0</v>
      </c>
      <c r="F231" s="4">
        <v>0</v>
      </c>
      <c r="J231" s="4">
        <f t="shared" ref="J231:K232" si="110">F295</f>
        <v>-1.2573502400000001</v>
      </c>
      <c r="K231" s="4">
        <f t="shared" si="110"/>
        <v>-8.0374999999999999E-4</v>
      </c>
      <c r="M231" s="4">
        <f t="shared" ref="M231:N232" si="111">F288</f>
        <v>5.0258350700000003</v>
      </c>
      <c r="N231" s="4">
        <f t="shared" si="111"/>
        <v>6.2823815600000001</v>
      </c>
      <c r="R231" s="4">
        <f t="shared" ref="R231:R232" si="112">N295</f>
        <v>-1.25732668</v>
      </c>
      <c r="S231" s="4">
        <f t="shared" ref="S231:S232" si="113">O295</f>
        <v>-8.2835999999999999E-4</v>
      </c>
      <c r="U231" s="4">
        <f t="shared" ref="U231:U232" si="114">N288</f>
        <v>2.35574706E-5</v>
      </c>
      <c r="V231" s="4">
        <f t="shared" ref="V231:V232" si="115">O288</f>
        <v>-2.4607478699999999E-5</v>
      </c>
    </row>
    <row r="232" spans="1:23" x14ac:dyDescent="0.2">
      <c r="B232" s="4">
        <v>0</v>
      </c>
      <c r="C232" s="4">
        <v>0</v>
      </c>
      <c r="E232" s="4">
        <v>0</v>
      </c>
      <c r="F232" s="4">
        <v>0</v>
      </c>
      <c r="J232" s="4">
        <f t="shared" si="110"/>
        <v>0</v>
      </c>
      <c r="K232" s="4">
        <f t="shared" si="110"/>
        <v>0</v>
      </c>
      <c r="M232" s="4">
        <f t="shared" si="111"/>
        <v>0</v>
      </c>
      <c r="N232" s="4">
        <f t="shared" si="111"/>
        <v>0</v>
      </c>
      <c r="R232" s="4">
        <f t="shared" si="112"/>
        <v>0</v>
      </c>
      <c r="S232" s="4">
        <f t="shared" si="113"/>
        <v>0</v>
      </c>
      <c r="U232" s="4">
        <f t="shared" si="114"/>
        <v>0</v>
      </c>
      <c r="V232" s="4">
        <f t="shared" si="115"/>
        <v>0</v>
      </c>
    </row>
    <row r="234" spans="1:23" x14ac:dyDescent="0.2">
      <c r="A234" s="4" t="s">
        <v>72</v>
      </c>
      <c r="B234" s="4">
        <v>0</v>
      </c>
      <c r="D234" s="4" t="s">
        <v>74</v>
      </c>
      <c r="E234" s="4">
        <v>0</v>
      </c>
      <c r="F234" s="4" t="s">
        <v>75</v>
      </c>
      <c r="G234" s="4">
        <v>0</v>
      </c>
      <c r="I234" s="4" t="s">
        <v>72</v>
      </c>
      <c r="J234" s="4">
        <f>J230*$B$2+K230*$C$2</f>
        <v>0</v>
      </c>
      <c r="L234" s="4" t="s">
        <v>74</v>
      </c>
      <c r="M234" s="4">
        <f>M230*$B$2+N230*$C$2</f>
        <v>0</v>
      </c>
      <c r="N234" s="4" t="s">
        <v>75</v>
      </c>
      <c r="O234" s="4">
        <f>M230*$B$3+N230*$C$3</f>
        <v>0</v>
      </c>
      <c r="Q234" s="4" t="s">
        <v>72</v>
      </c>
      <c r="R234" s="4">
        <f>R230*$B$2+S230*$C$2</f>
        <v>0</v>
      </c>
      <c r="T234" s="4" t="s">
        <v>74</v>
      </c>
      <c r="U234" s="4">
        <f>U230*$B$2+V230*$C$2</f>
        <v>0</v>
      </c>
      <c r="V234" s="4" t="s">
        <v>75</v>
      </c>
      <c r="W234" s="4">
        <f>U230*$B$3+V230*$C$3</f>
        <v>0</v>
      </c>
    </row>
    <row r="235" spans="1:23" x14ac:dyDescent="0.2">
      <c r="B235" s="4">
        <v>0</v>
      </c>
      <c r="E235" s="4">
        <v>0</v>
      </c>
      <c r="G235" s="4">
        <v>0</v>
      </c>
      <c r="J235" s="4">
        <f t="shared" ref="J235:J236" si="116">J231*$B$2+K231*$C$2</f>
        <v>-0.62907699500000003</v>
      </c>
      <c r="M235" s="4">
        <f t="shared" ref="M235:M236" si="117">M231*$B$2+N231*$C$2</f>
        <v>5.6541083150000002</v>
      </c>
      <c r="O235" s="4">
        <f t="shared" ref="O235:O236" si="118">M231*$B$3+N231*$C$3</f>
        <v>6.282732450000001</v>
      </c>
      <c r="R235" s="4">
        <f t="shared" ref="R235:R236" si="119">R231*$B$2+S231*$C$2</f>
        <v>-0.62907752000000006</v>
      </c>
      <c r="U235" s="4">
        <f t="shared" ref="U235:U236" si="120">U231*$B$2+V231*$C$2</f>
        <v>-5.2500404999999929E-7</v>
      </c>
      <c r="W235" s="4">
        <f t="shared" ref="W235:W236" si="121">U231*$B$3+V231*$C$3</f>
        <v>-2.408247465E-4</v>
      </c>
    </row>
    <row r="236" spans="1:23" x14ac:dyDescent="0.2">
      <c r="B236" s="4">
        <v>0</v>
      </c>
      <c r="E236" s="4">
        <v>0</v>
      </c>
      <c r="G236" s="4">
        <v>0</v>
      </c>
      <c r="J236" s="4">
        <f t="shared" si="116"/>
        <v>0</v>
      </c>
      <c r="M236" s="4">
        <f t="shared" si="117"/>
        <v>0</v>
      </c>
      <c r="O236" s="4">
        <f t="shared" si="118"/>
        <v>0</v>
      </c>
      <c r="R236" s="4">
        <f t="shared" si="119"/>
        <v>0</v>
      </c>
      <c r="U236" s="4">
        <f t="shared" si="120"/>
        <v>0</v>
      </c>
      <c r="W236" s="4">
        <f t="shared" si="121"/>
        <v>0</v>
      </c>
    </row>
    <row r="238" spans="1:23" x14ac:dyDescent="0.2">
      <c r="A238" s="4" t="s">
        <v>76</v>
      </c>
      <c r="B238" s="4">
        <v>0</v>
      </c>
      <c r="I238" s="4" t="s">
        <v>76</v>
      </c>
      <c r="J238" s="4">
        <f>SQRT(M234^2+M235^2+M236^2)</f>
        <v>5.6541083150000002</v>
      </c>
      <c r="Q238" s="4" t="s">
        <v>76</v>
      </c>
      <c r="R238" s="4">
        <f>SQRT(U234^2+U235^2+U236^2)</f>
        <v>5.2500404999999929E-7</v>
      </c>
    </row>
    <row r="240" spans="1:23" x14ac:dyDescent="0.2">
      <c r="A240" s="4" t="s">
        <v>77</v>
      </c>
      <c r="B240" s="4">
        <v>0</v>
      </c>
      <c r="I240" s="4" t="s">
        <v>77</v>
      </c>
      <c r="J240" s="4">
        <f>M234*O234+M235*O235+M236*O236</f>
        <v>35.523249786465328</v>
      </c>
      <c r="Q240" s="4" t="s">
        <v>77</v>
      </c>
      <c r="R240" s="4">
        <f>U234*W234+U235*W235+U236*W236</f>
        <v>1.2643396725272316E-10</v>
      </c>
    </row>
    <row r="242" spans="1:22" x14ac:dyDescent="0.2">
      <c r="A242" s="9" t="s">
        <v>79</v>
      </c>
      <c r="B242" s="9">
        <v>1</v>
      </c>
      <c r="C242" s="9">
        <v>0</v>
      </c>
      <c r="D242" s="9">
        <v>0</v>
      </c>
      <c r="I242" s="9" t="s">
        <v>79</v>
      </c>
      <c r="J242" s="9">
        <v>0.80882142000000001</v>
      </c>
      <c r="K242" s="9">
        <v>0</v>
      </c>
      <c r="L242" s="9">
        <v>-0.58805434000000001</v>
      </c>
      <c r="Q242" s="9" t="s">
        <v>79</v>
      </c>
      <c r="R242" s="9">
        <v>0.80882142000000001</v>
      </c>
      <c r="S242" s="9">
        <v>0</v>
      </c>
      <c r="T242" s="9">
        <v>-0.58805434000000001</v>
      </c>
    </row>
    <row r="243" spans="1:22" x14ac:dyDescent="0.2">
      <c r="A243" s="9"/>
      <c r="B243" s="9">
        <v>0</v>
      </c>
      <c r="C243" s="9">
        <v>1</v>
      </c>
      <c r="D243" s="9">
        <v>0</v>
      </c>
      <c r="I243" s="9"/>
      <c r="J243" s="9">
        <v>0</v>
      </c>
      <c r="K243" s="9">
        <v>1</v>
      </c>
      <c r="L243" s="9">
        <v>0</v>
      </c>
      <c r="Q243" s="9"/>
      <c r="R243" s="9">
        <v>0</v>
      </c>
      <c r="S243" s="9">
        <v>1</v>
      </c>
      <c r="T243" s="9">
        <v>0</v>
      </c>
    </row>
    <row r="244" spans="1:22" x14ac:dyDescent="0.2">
      <c r="A244" s="9"/>
      <c r="B244" s="9">
        <v>0</v>
      </c>
      <c r="C244" s="9">
        <v>0</v>
      </c>
      <c r="D244" s="9">
        <v>1</v>
      </c>
      <c r="I244" s="9"/>
      <c r="J244" s="9">
        <v>-0.58805434000000001</v>
      </c>
      <c r="K244" s="9">
        <v>0</v>
      </c>
      <c r="L244" s="9">
        <v>0.80882142000000001</v>
      </c>
      <c r="Q244" s="9"/>
      <c r="R244" s="9">
        <v>-0.58805434000000001</v>
      </c>
      <c r="S244" s="9">
        <v>0</v>
      </c>
      <c r="T244" s="9">
        <v>0.80882142000000001</v>
      </c>
    </row>
    <row r="246" spans="1:22" x14ac:dyDescent="0.2">
      <c r="A246" s="4" t="s">
        <v>81</v>
      </c>
      <c r="B246" s="4">
        <v>0</v>
      </c>
      <c r="I246" s="4" t="s">
        <v>81</v>
      </c>
      <c r="J246" s="4">
        <f>B262</f>
        <v>0</v>
      </c>
      <c r="Q246" s="4" t="s">
        <v>81</v>
      </c>
      <c r="R246" s="4">
        <f>J262</f>
        <v>0</v>
      </c>
    </row>
    <row r="247" spans="1:22" x14ac:dyDescent="0.2">
      <c r="B247" s="4">
        <v>0</v>
      </c>
      <c r="J247" s="4">
        <f t="shared" ref="J247:J248" si="122">B263</f>
        <v>0</v>
      </c>
      <c r="R247" s="4">
        <f t="shared" ref="R247:R248" si="123">J263</f>
        <v>6.282732450000001</v>
      </c>
    </row>
    <row r="248" spans="1:22" x14ac:dyDescent="0.2">
      <c r="B248" s="4">
        <v>0</v>
      </c>
      <c r="J248" s="4">
        <f t="shared" si="122"/>
        <v>0</v>
      </c>
      <c r="R248" s="4">
        <f t="shared" si="123"/>
        <v>0</v>
      </c>
    </row>
    <row r="250" spans="1:22" x14ac:dyDescent="0.2">
      <c r="A250" s="4" t="s">
        <v>80</v>
      </c>
      <c r="B250" s="4">
        <v>0</v>
      </c>
      <c r="I250" s="4" t="s">
        <v>80</v>
      </c>
      <c r="J250" s="4">
        <f>J242*J$190+K242*J$191+L242*J$192</f>
        <v>0</v>
      </c>
      <c r="Q250" s="4" t="s">
        <v>80</v>
      </c>
      <c r="R250" s="4">
        <f>R242*R$190+S242*R$191+T242*R$192</f>
        <v>0</v>
      </c>
    </row>
    <row r="251" spans="1:22" x14ac:dyDescent="0.2">
      <c r="B251" s="4">
        <v>0</v>
      </c>
      <c r="J251" s="4">
        <f t="shared" ref="J251:J252" si="124">J243*J$190+K243*J$191+L243*J$192</f>
        <v>0</v>
      </c>
      <c r="R251" s="4">
        <f t="shared" ref="R251:R252" si="125">R243*R$190+S243*R$191+T243*R$192</f>
        <v>6.2825302000000001</v>
      </c>
    </row>
    <row r="252" spans="1:22" x14ac:dyDescent="0.2">
      <c r="B252" s="4">
        <v>0</v>
      </c>
      <c r="J252" s="4">
        <f t="shared" si="124"/>
        <v>0</v>
      </c>
      <c r="R252" s="4">
        <f t="shared" si="125"/>
        <v>0</v>
      </c>
    </row>
    <row r="254" spans="1:22" x14ac:dyDescent="0.2">
      <c r="A254" s="4" t="s">
        <v>82</v>
      </c>
      <c r="B254" s="4">
        <v>0</v>
      </c>
      <c r="C254" s="4" t="s">
        <v>83</v>
      </c>
      <c r="D254" s="4">
        <v>0</v>
      </c>
      <c r="E254" s="4" t="s">
        <v>84</v>
      </c>
      <c r="F254" s="4">
        <v>0</v>
      </c>
      <c r="I254" s="4" t="s">
        <v>82</v>
      </c>
      <c r="J254" s="4">
        <f>IF(J$238=0,0,SIN(J$238)/J$238*O234)</f>
        <v>0</v>
      </c>
      <c r="K254" s="4" t="s">
        <v>83</v>
      </c>
      <c r="L254" s="4">
        <f>IF(J$238=0,0,(1-SIN(J$238)/$J$238)*J$240/J$238*M234/J$238)</f>
        <v>0</v>
      </c>
      <c r="M254" s="4" t="s">
        <v>84</v>
      </c>
      <c r="N254" s="4">
        <f>IF(J$238=0,0,(2*SIN(0.5*J$238)^2/J$238^2)*(M235*O236-M236*O235))</f>
        <v>0</v>
      </c>
      <c r="Q254" s="4" t="s">
        <v>82</v>
      </c>
      <c r="R254" s="4">
        <f>IF(R$238=0,0,SIN(R$238)/R$238*W234)</f>
        <v>0</v>
      </c>
      <c r="S254" s="4" t="s">
        <v>83</v>
      </c>
      <c r="T254" s="4">
        <f>IF(R$238=0,0,(1-SIN(R$238)/$J$238)*R$240/R$238*U234/R$238)</f>
        <v>0</v>
      </c>
      <c r="U254" s="4" t="s">
        <v>84</v>
      </c>
      <c r="V254" s="4">
        <f>IF(R$238=0,0,(2*SIN(0.5*R$238)^2/R$238^2)*(U235*W236-U236*W235))</f>
        <v>0</v>
      </c>
    </row>
    <row r="255" spans="1:22" x14ac:dyDescent="0.2">
      <c r="B255" s="4">
        <v>0</v>
      </c>
      <c r="D255" s="4">
        <v>0</v>
      </c>
      <c r="F255" s="4">
        <v>0</v>
      </c>
      <c r="J255" s="4">
        <f>IF(J$238=0,0,SIN(J$238)/J$238*O235)</f>
        <v>-0.65381689665597287</v>
      </c>
      <c r="L255" s="4">
        <f t="shared" ref="L255:L256" si="126">IF(J$238=0,0,(1-SIN(J$238)/$J$238)*J$240/J$238*M235/J$238)</f>
        <v>6.9365493466559736</v>
      </c>
      <c r="N255" s="4">
        <f>IF(J$238=0,0,(2*SIN(0.5*J$238)^2/J$238^2)*(O234*M236-M234*O236))</f>
        <v>0</v>
      </c>
      <c r="R255" s="4">
        <f>IF(R$238=0,0,SIN(R$238)/R$238*W235)</f>
        <v>-2.4082474649998894E-4</v>
      </c>
      <c r="T255" s="4">
        <f t="shared" ref="T255:T256" si="127">IF(R$238=0,0,(1-SIN(R$238)/$J$238)*R$240/R$238*U235/R$238)</f>
        <v>-2.4082472413856646E-4</v>
      </c>
      <c r="V255" s="4">
        <f>IF(R$238=0,0,(2*SIN(0.5*R$238)^2/R$238^2)*(W234*U236-U234*W236))</f>
        <v>0</v>
      </c>
    </row>
    <row r="256" spans="1:22" x14ac:dyDescent="0.2">
      <c r="B256" s="4">
        <v>0</v>
      </c>
      <c r="D256" s="4">
        <v>0</v>
      </c>
      <c r="F256" s="4">
        <v>0</v>
      </c>
      <c r="J256" s="4">
        <f>IF(J$238=0,0,SIN(J$238)/J$238*O236)</f>
        <v>0</v>
      </c>
      <c r="L256" s="4">
        <f t="shared" si="126"/>
        <v>0</v>
      </c>
      <c r="N256" s="4">
        <f>IF(J$238=0,0,(2*SIN(0.5*J$238)^2/J$238^2)*(M234*O235-M235*O234))</f>
        <v>0</v>
      </c>
      <c r="R256" s="4">
        <f>IF(R$238=0,0,SIN(R$238)/R$238*W236)</f>
        <v>0</v>
      </c>
      <c r="T256" s="4">
        <f t="shared" si="127"/>
        <v>0</v>
      </c>
      <c r="V256" s="4">
        <f>IF(R$238=0,0,(2*SIN(0.5*R$238)^2/R$238^2)*(U234*W235-U235*W234))</f>
        <v>0</v>
      </c>
    </row>
    <row r="258" spans="1:19" x14ac:dyDescent="0.2">
      <c r="A258" s="4" t="s">
        <v>70</v>
      </c>
      <c r="B258" s="4">
        <v>0</v>
      </c>
      <c r="I258" s="4" t="s">
        <v>70</v>
      </c>
      <c r="J258" s="4">
        <f>J254+L254+N254</f>
        <v>0</v>
      </c>
      <c r="Q258" s="4" t="s">
        <v>70</v>
      </c>
      <c r="R258" s="4">
        <f>R254+T254+V254</f>
        <v>0</v>
      </c>
    </row>
    <row r="259" spans="1:19" x14ac:dyDescent="0.2">
      <c r="B259" s="4">
        <v>0</v>
      </c>
      <c r="J259" s="4">
        <f t="shared" ref="J259:J260" si="128">J255+L255+N255</f>
        <v>6.282732450000001</v>
      </c>
      <c r="R259" s="4">
        <f t="shared" ref="R259:R260" si="129">R255+T255+V255</f>
        <v>-4.8164947063855537E-4</v>
      </c>
    </row>
    <row r="260" spans="1:19" x14ac:dyDescent="0.2">
      <c r="B260" s="4">
        <v>0</v>
      </c>
      <c r="J260" s="4">
        <f t="shared" si="128"/>
        <v>0</v>
      </c>
      <c r="R260" s="4">
        <f t="shared" si="129"/>
        <v>0</v>
      </c>
    </row>
    <row r="262" spans="1:19" x14ac:dyDescent="0.2">
      <c r="A262" s="4" t="s">
        <v>85</v>
      </c>
      <c r="B262" s="4">
        <v>0</v>
      </c>
      <c r="I262" s="4" t="s">
        <v>85</v>
      </c>
      <c r="J262" s="4">
        <f>J258+J250</f>
        <v>0</v>
      </c>
      <c r="Q262" s="4" t="s">
        <v>85</v>
      </c>
      <c r="R262" s="4">
        <f>R258+R250</f>
        <v>0</v>
      </c>
    </row>
    <row r="263" spans="1:19" x14ac:dyDescent="0.2">
      <c r="B263" s="4">
        <v>0</v>
      </c>
      <c r="J263" s="4">
        <f>J259+J251</f>
        <v>6.282732450000001</v>
      </c>
      <c r="R263" s="4">
        <f>R259+R251</f>
        <v>6.2820485505293613</v>
      </c>
    </row>
    <row r="264" spans="1:19" x14ac:dyDescent="0.2">
      <c r="B264" s="4">
        <v>0</v>
      </c>
      <c r="J264" s="4">
        <f>J260+J252</f>
        <v>0</v>
      </c>
      <c r="R264" s="4">
        <f>R260+R252</f>
        <v>0</v>
      </c>
    </row>
    <row r="266" spans="1:19" x14ac:dyDescent="0.2">
      <c r="A266" s="4" t="s">
        <v>86</v>
      </c>
      <c r="B266" s="4">
        <v>0</v>
      </c>
      <c r="C266" s="4">
        <v>0</v>
      </c>
      <c r="I266" s="4" t="s">
        <v>86</v>
      </c>
      <c r="J266" s="4">
        <f>F291</f>
        <v>2.0102971900000002</v>
      </c>
      <c r="K266" s="4">
        <f>G291</f>
        <v>3.1411188499999998</v>
      </c>
      <c r="Q266" s="4" t="s">
        <v>86</v>
      </c>
      <c r="R266" s="4">
        <f>N291</f>
        <v>1.2747511400000002</v>
      </c>
      <c r="S266" s="4">
        <f>O291</f>
        <v>1.5711037999999997</v>
      </c>
    </row>
    <row r="267" spans="1:19" x14ac:dyDescent="0.2">
      <c r="B267" s="4">
        <v>0</v>
      </c>
      <c r="C267" s="4">
        <v>0</v>
      </c>
      <c r="J267" s="4">
        <f t="shared" ref="J267:K268" si="130">F292</f>
        <v>0</v>
      </c>
      <c r="K267" s="4">
        <f t="shared" si="130"/>
        <v>0</v>
      </c>
      <c r="R267" s="4">
        <f t="shared" ref="R267:R268" si="131">N292</f>
        <v>0</v>
      </c>
      <c r="S267" s="4">
        <f t="shared" ref="S267:S268" si="132">O292</f>
        <v>0</v>
      </c>
    </row>
    <row r="268" spans="1:19" x14ac:dyDescent="0.2">
      <c r="B268" s="4">
        <v>0.8</v>
      </c>
      <c r="C268" s="4">
        <v>1</v>
      </c>
      <c r="J268" s="4">
        <f t="shared" si="130"/>
        <v>0.8</v>
      </c>
      <c r="K268" s="4">
        <f t="shared" si="130"/>
        <v>1</v>
      </c>
      <c r="R268" s="4">
        <f t="shared" si="131"/>
        <v>0.57684219000000003</v>
      </c>
      <c r="S268" s="4">
        <f t="shared" si="132"/>
        <v>0.16959809999999997</v>
      </c>
    </row>
    <row r="270" spans="1:19" x14ac:dyDescent="0.2">
      <c r="A270" s="4" t="s">
        <v>87</v>
      </c>
      <c r="B270" s="4">
        <v>0</v>
      </c>
      <c r="I270" s="4" t="s">
        <v>87</v>
      </c>
      <c r="J270" s="4">
        <f>J266*$B$3+K266*$C$3</f>
        <v>5.654108299999999</v>
      </c>
      <c r="Q270" s="4" t="s">
        <v>87</v>
      </c>
      <c r="R270" s="4">
        <f>R266*$B$3+S266*$C$3</f>
        <v>1.4817632999999972</v>
      </c>
    </row>
    <row r="271" spans="1:19" x14ac:dyDescent="0.2">
      <c r="B271" s="4">
        <v>0</v>
      </c>
      <c r="J271" s="4">
        <f t="shared" ref="J271:J272" si="133">J267*$B$3+K267*$C$3</f>
        <v>0</v>
      </c>
      <c r="R271" s="4">
        <f t="shared" ref="R271:R272" si="134">R267*$B$3+S267*$C$3</f>
        <v>0</v>
      </c>
    </row>
    <row r="272" spans="1:19" x14ac:dyDescent="0.2">
      <c r="B272" s="4">
        <v>1</v>
      </c>
      <c r="J272" s="4">
        <f t="shared" si="133"/>
        <v>1</v>
      </c>
      <c r="R272" s="4">
        <f t="shared" si="134"/>
        <v>-2.0362204500000001</v>
      </c>
    </row>
    <row r="274" spans="1:23" x14ac:dyDescent="0.2">
      <c r="A274" s="9" t="s">
        <v>88</v>
      </c>
      <c r="B274" s="9">
        <v>1</v>
      </c>
      <c r="C274" s="9">
        <v>0</v>
      </c>
      <c r="D274" s="9">
        <v>0</v>
      </c>
      <c r="I274" s="9" t="s">
        <v>88</v>
      </c>
      <c r="J274" s="9">
        <v>0.80882142000000001</v>
      </c>
      <c r="K274" s="9">
        <v>0</v>
      </c>
      <c r="L274" s="9">
        <v>-0.58805434000000001</v>
      </c>
      <c r="Q274" s="9" t="s">
        <v>88</v>
      </c>
      <c r="R274" s="9">
        <v>0.80882142000000001</v>
      </c>
      <c r="S274" s="9">
        <v>0</v>
      </c>
      <c r="T274" s="9">
        <v>-0.58805434000000001</v>
      </c>
    </row>
    <row r="275" spans="1:23" x14ac:dyDescent="0.2">
      <c r="A275" s="9"/>
      <c r="B275" s="9">
        <v>0</v>
      </c>
      <c r="C275" s="9">
        <v>1</v>
      </c>
      <c r="D275" s="9">
        <v>0</v>
      </c>
      <c r="I275" s="9"/>
      <c r="J275" s="9">
        <v>0</v>
      </c>
      <c r="K275" s="9">
        <v>1</v>
      </c>
      <c r="L275" s="9">
        <v>0</v>
      </c>
      <c r="Q275" s="9"/>
      <c r="R275" s="9">
        <v>0</v>
      </c>
      <c r="S275" s="9">
        <v>1</v>
      </c>
      <c r="T275" s="9">
        <v>0</v>
      </c>
    </row>
    <row r="276" spans="1:23" x14ac:dyDescent="0.2">
      <c r="A276" s="9"/>
      <c r="B276" s="9">
        <v>0</v>
      </c>
      <c r="C276" s="9">
        <v>0</v>
      </c>
      <c r="D276" s="9">
        <v>1</v>
      </c>
      <c r="I276" s="9"/>
      <c r="J276" s="9">
        <v>-0.58805434000000001</v>
      </c>
      <c r="K276" s="9">
        <v>0</v>
      </c>
      <c r="L276" s="9">
        <v>0.80882142000000001</v>
      </c>
      <c r="Q276" s="9"/>
      <c r="R276" s="9">
        <v>-0.58805434000000001</v>
      </c>
      <c r="S276" s="9">
        <v>0</v>
      </c>
      <c r="T276" s="9">
        <v>0.80882142000000001</v>
      </c>
    </row>
    <row r="278" spans="1:23" x14ac:dyDescent="0.2">
      <c r="A278" s="4" t="s">
        <v>69</v>
      </c>
      <c r="B278" s="4">
        <v>0</v>
      </c>
      <c r="I278" s="4" t="s">
        <v>69</v>
      </c>
      <c r="J278" s="4">
        <f>J270-(J274*0+K274*0+L274*1)</f>
        <v>6.2421626399999992</v>
      </c>
      <c r="Q278" s="4" t="s">
        <v>69</v>
      </c>
      <c r="R278" s="4">
        <f>R270-(R274*0+S274*0+T274*1)</f>
        <v>2.0698176399999975</v>
      </c>
    </row>
    <row r="279" spans="1:23" x14ac:dyDescent="0.2">
      <c r="B279" s="4">
        <v>0</v>
      </c>
      <c r="J279" s="4">
        <f t="shared" ref="J279:J280" si="135">J271-(J275*0+K275*0+L275*1)</f>
        <v>0</v>
      </c>
      <c r="R279" s="4">
        <f t="shared" ref="R279:R280" si="136">R271-(R275*0+S275*0+T275*1)</f>
        <v>0</v>
      </c>
    </row>
    <row r="280" spans="1:23" x14ac:dyDescent="0.2">
      <c r="B280" s="4">
        <v>0</v>
      </c>
      <c r="J280" s="4">
        <f t="shared" si="135"/>
        <v>0.19117857999999999</v>
      </c>
      <c r="R280" s="4">
        <f t="shared" si="136"/>
        <v>-2.8450418700000002</v>
      </c>
    </row>
    <row r="284" spans="1:23" x14ac:dyDescent="0.2">
      <c r="A284" s="10" t="s">
        <v>91</v>
      </c>
      <c r="B284" s="10">
        <v>0</v>
      </c>
      <c r="C284" s="10">
        <v>0.12563978000000001</v>
      </c>
      <c r="D284" s="10">
        <v>0.50256372000000005</v>
      </c>
      <c r="E284" s="4">
        <v>1.13078078</v>
      </c>
      <c r="F284" s="4">
        <v>2.0102971900000002</v>
      </c>
      <c r="G284" s="4">
        <v>3.1411188499999998</v>
      </c>
      <c r="I284" s="10" t="s">
        <v>91</v>
      </c>
      <c r="J284" s="10">
        <v>0</v>
      </c>
      <c r="K284" s="10">
        <v>1.2851309999999999E-2</v>
      </c>
      <c r="L284" s="10">
        <v>-8.1791539999999996E-2</v>
      </c>
      <c r="M284" s="4">
        <v>-0.71010991000000001</v>
      </c>
      <c r="N284" s="4">
        <v>-0.73554604999999995</v>
      </c>
      <c r="O284" s="4">
        <v>-1.5700150500000001</v>
      </c>
      <c r="Q284" s="10" t="s">
        <v>91</v>
      </c>
      <c r="R284" s="10">
        <v>0</v>
      </c>
      <c r="S284" s="10">
        <v>1.28512E-2</v>
      </c>
      <c r="T284" s="10">
        <v>-8.1797579999999995E-2</v>
      </c>
      <c r="U284" s="4">
        <v>-0.71011601000000002</v>
      </c>
      <c r="V284" s="4">
        <v>-0.73546173000000004</v>
      </c>
      <c r="W284" s="4">
        <v>-1.5704183</v>
      </c>
    </row>
    <row r="285" spans="1:23" x14ac:dyDescent="0.2">
      <c r="A285" s="10"/>
      <c r="B285" s="10">
        <v>0</v>
      </c>
      <c r="C285" s="10">
        <v>0</v>
      </c>
      <c r="D285" s="10">
        <v>0</v>
      </c>
      <c r="E285" s="4">
        <v>0</v>
      </c>
      <c r="F285" s="4">
        <v>0</v>
      </c>
      <c r="G285" s="4">
        <v>0</v>
      </c>
      <c r="I285" s="10"/>
      <c r="J285" s="10">
        <v>0</v>
      </c>
      <c r="K285" s="10">
        <v>0</v>
      </c>
      <c r="L285" s="10">
        <v>0</v>
      </c>
      <c r="M285" s="4">
        <v>0</v>
      </c>
      <c r="N285" s="4">
        <v>0</v>
      </c>
      <c r="O285" s="4">
        <v>0</v>
      </c>
      <c r="Q285" s="10"/>
      <c r="R285" s="10">
        <v>0</v>
      </c>
      <c r="S285" s="10">
        <v>0</v>
      </c>
      <c r="T285" s="10">
        <v>0</v>
      </c>
      <c r="U285" s="4">
        <v>0</v>
      </c>
      <c r="V285" s="4">
        <v>0</v>
      </c>
      <c r="W285" s="4">
        <v>0</v>
      </c>
    </row>
    <row r="286" spans="1:23" x14ac:dyDescent="0.2">
      <c r="A286" s="10"/>
      <c r="B286" s="10">
        <v>0</v>
      </c>
      <c r="C286" s="10">
        <v>0</v>
      </c>
      <c r="D286" s="10">
        <v>0</v>
      </c>
      <c r="E286" s="4">
        <v>0</v>
      </c>
      <c r="F286" s="4">
        <v>0</v>
      </c>
      <c r="G286" s="4">
        <v>0</v>
      </c>
      <c r="I286" s="10"/>
      <c r="J286" s="10">
        <v>0</v>
      </c>
      <c r="K286" s="10">
        <v>-9.3347099999999995E-3</v>
      </c>
      <c r="L286" s="10">
        <v>-0.30094850000000001</v>
      </c>
      <c r="M286" s="4">
        <v>-0.30126728000000003</v>
      </c>
      <c r="N286" s="4">
        <v>-0.22315781000000001</v>
      </c>
      <c r="O286" s="4">
        <v>-0.83040190000000003</v>
      </c>
      <c r="Q286" s="10"/>
      <c r="R286" s="10">
        <v>0</v>
      </c>
      <c r="S286" s="10">
        <v>-9.3345600000000004E-3</v>
      </c>
      <c r="T286" s="10">
        <v>-0.300952</v>
      </c>
      <c r="U286" s="4">
        <v>-0.30120672999999998</v>
      </c>
      <c r="V286" s="4">
        <v>-0.22330317999999999</v>
      </c>
      <c r="W286" s="4">
        <v>-0.83035855999999997</v>
      </c>
    </row>
    <row r="287" spans="1:23" x14ac:dyDescent="0.2">
      <c r="A287" s="10"/>
      <c r="B287" s="10">
        <v>0</v>
      </c>
      <c r="C287" s="10">
        <v>0</v>
      </c>
      <c r="D287" s="10">
        <v>0</v>
      </c>
      <c r="E287" s="4">
        <v>0</v>
      </c>
      <c r="F287" s="4">
        <v>0</v>
      </c>
      <c r="G287" s="4">
        <v>0</v>
      </c>
      <c r="I287" s="10"/>
      <c r="J287" s="10">
        <v>0</v>
      </c>
      <c r="K287" s="10">
        <v>0</v>
      </c>
      <c r="L287" s="10">
        <v>0</v>
      </c>
      <c r="M287" s="4">
        <v>0</v>
      </c>
      <c r="N287" s="4">
        <v>0</v>
      </c>
      <c r="O287" s="4">
        <v>0</v>
      </c>
      <c r="Q287" s="10"/>
      <c r="R287" s="10">
        <v>0</v>
      </c>
      <c r="S287" s="10">
        <v>0</v>
      </c>
      <c r="T287" s="10">
        <v>0</v>
      </c>
      <c r="U287" s="4">
        <v>0</v>
      </c>
      <c r="V287" s="4">
        <v>0</v>
      </c>
      <c r="W287" s="4">
        <v>0</v>
      </c>
    </row>
    <row r="288" spans="1:23" x14ac:dyDescent="0.2">
      <c r="A288" s="10"/>
      <c r="B288" s="10">
        <v>0</v>
      </c>
      <c r="C288" s="10">
        <v>1.2563978</v>
      </c>
      <c r="D288" s="10">
        <v>2.51284156</v>
      </c>
      <c r="E288" s="4">
        <v>3.7693290300000002</v>
      </c>
      <c r="F288" s="4">
        <v>5.0258350700000003</v>
      </c>
      <c r="G288" s="4">
        <v>6.2823815600000001</v>
      </c>
      <c r="I288" s="10"/>
      <c r="J288" s="10">
        <v>0</v>
      </c>
      <c r="K288" s="10">
        <v>-3.4567873000000002E-6</v>
      </c>
      <c r="L288" s="10">
        <v>2.9706788400000001E-6</v>
      </c>
      <c r="M288" s="4">
        <v>-2.9714601100000002E-6</v>
      </c>
      <c r="N288" s="4">
        <v>2.35574706E-5</v>
      </c>
      <c r="O288" s="4">
        <v>-2.4607478699999999E-5</v>
      </c>
      <c r="Q288" s="10"/>
      <c r="R288" s="10">
        <v>0</v>
      </c>
      <c r="S288" s="10">
        <v>-2.8806730500000001E-6</v>
      </c>
      <c r="T288" s="10">
        <v>2.4755968499999999E-6</v>
      </c>
      <c r="U288" s="4">
        <v>-2.4761171000000001E-6</v>
      </c>
      <c r="V288" s="4">
        <v>1.9679451100000001E-5</v>
      </c>
      <c r="W288" s="4">
        <v>-2.0553733700000001E-5</v>
      </c>
    </row>
    <row r="289" spans="1:23" x14ac:dyDescent="0.2">
      <c r="A289" s="10"/>
      <c r="B289" s="10">
        <v>0</v>
      </c>
      <c r="C289" s="10">
        <v>0</v>
      </c>
      <c r="D289" s="10">
        <v>0</v>
      </c>
      <c r="E289" s="4">
        <v>0</v>
      </c>
      <c r="F289" s="4">
        <v>0</v>
      </c>
      <c r="G289" s="4">
        <v>0</v>
      </c>
      <c r="I289" s="10"/>
      <c r="J289" s="10">
        <v>0</v>
      </c>
      <c r="K289" s="10">
        <v>0</v>
      </c>
      <c r="L289" s="10">
        <v>0</v>
      </c>
      <c r="M289" s="4">
        <v>0</v>
      </c>
      <c r="N289" s="4">
        <v>0</v>
      </c>
      <c r="O289" s="4">
        <v>0</v>
      </c>
      <c r="Q289" s="10"/>
      <c r="R289" s="10">
        <v>0</v>
      </c>
      <c r="S289" s="10">
        <v>0</v>
      </c>
      <c r="T289" s="10">
        <v>0</v>
      </c>
      <c r="U289" s="4">
        <v>0</v>
      </c>
      <c r="V289" s="4">
        <v>0</v>
      </c>
      <c r="W289" s="4">
        <v>0</v>
      </c>
    </row>
    <row r="290" spans="1:23" x14ac:dyDescent="0.2">
      <c r="A290" s="10"/>
      <c r="B290" s="10"/>
      <c r="C290" s="10"/>
      <c r="D290" s="10"/>
      <c r="I290" s="10"/>
      <c r="J290" s="10"/>
      <c r="K290" s="10"/>
      <c r="L290" s="10"/>
      <c r="Q290" s="10"/>
      <c r="R290" s="10"/>
      <c r="S290" s="10"/>
      <c r="T290" s="10"/>
    </row>
    <row r="291" spans="1:23" x14ac:dyDescent="0.2">
      <c r="A291" s="10" t="s">
        <v>90</v>
      </c>
      <c r="B291" s="10">
        <v>0</v>
      </c>
      <c r="C291" s="10">
        <v>0.12563978000000001</v>
      </c>
      <c r="D291" s="10">
        <v>0.50256372000000005</v>
      </c>
      <c r="E291" s="4">
        <v>1.13078078</v>
      </c>
      <c r="F291" s="4">
        <v>2.0102971900000002</v>
      </c>
      <c r="G291" s="4">
        <v>3.1411188499999998</v>
      </c>
      <c r="I291" s="10" t="s">
        <v>90</v>
      </c>
      <c r="J291" s="10">
        <f>B291+J284</f>
        <v>0</v>
      </c>
      <c r="K291" s="10">
        <f t="shared" ref="K291:O293" si="137">C291+K284</f>
        <v>0.13849109000000001</v>
      </c>
      <c r="L291" s="10">
        <f t="shared" si="137"/>
        <v>0.42077218000000005</v>
      </c>
      <c r="M291" s="10">
        <f t="shared" si="137"/>
        <v>0.42067087000000003</v>
      </c>
      <c r="N291" s="10">
        <f t="shared" si="137"/>
        <v>1.2747511400000002</v>
      </c>
      <c r="O291" s="10">
        <f t="shared" si="137"/>
        <v>1.5711037999999997</v>
      </c>
      <c r="Q291" s="10" t="s">
        <v>90</v>
      </c>
      <c r="R291" s="10">
        <f>J291+R284</f>
        <v>0</v>
      </c>
      <c r="S291" s="10">
        <f t="shared" ref="S291:S292" si="138">K291+S284</f>
        <v>0.15134229000000002</v>
      </c>
      <c r="T291" s="10">
        <f t="shared" ref="T291:T292" si="139">L291+T284</f>
        <v>0.33897460000000007</v>
      </c>
      <c r="U291" s="10">
        <f t="shared" ref="U291:U292" si="140">M291+U284</f>
        <v>-0.28944513999999999</v>
      </c>
      <c r="V291" s="10">
        <f t="shared" ref="V291:V293" si="141">N291+V284</f>
        <v>0.53928941000000019</v>
      </c>
      <c r="W291" s="10">
        <f t="shared" ref="W291:W293" si="142">O291+W284</f>
        <v>6.8549999999967248E-4</v>
      </c>
    </row>
    <row r="292" spans="1:23" x14ac:dyDescent="0.2">
      <c r="A292" s="10"/>
      <c r="B292" s="10">
        <v>0</v>
      </c>
      <c r="C292" s="10">
        <v>0</v>
      </c>
      <c r="D292" s="10">
        <v>0</v>
      </c>
      <c r="E292" s="4">
        <v>0</v>
      </c>
      <c r="F292" s="4">
        <v>0</v>
      </c>
      <c r="G292" s="4">
        <v>0</v>
      </c>
      <c r="I292" s="10"/>
      <c r="J292" s="10">
        <f t="shared" ref="J292:J293" si="143">B292+J285</f>
        <v>0</v>
      </c>
      <c r="K292" s="10">
        <f t="shared" si="137"/>
        <v>0</v>
      </c>
      <c r="L292" s="10">
        <f t="shared" si="137"/>
        <v>0</v>
      </c>
      <c r="M292" s="10">
        <f t="shared" si="137"/>
        <v>0</v>
      </c>
      <c r="N292" s="10">
        <f t="shared" si="137"/>
        <v>0</v>
      </c>
      <c r="O292" s="10">
        <f t="shared" si="137"/>
        <v>0</v>
      </c>
      <c r="Q292" s="10"/>
      <c r="R292" s="10">
        <f t="shared" ref="R292:R293" si="144">J292+R285</f>
        <v>0</v>
      </c>
      <c r="S292" s="10">
        <f t="shared" si="138"/>
        <v>0</v>
      </c>
      <c r="T292" s="10">
        <f t="shared" si="139"/>
        <v>0</v>
      </c>
      <c r="U292" s="10">
        <f t="shared" si="140"/>
        <v>0</v>
      </c>
      <c r="V292" s="10">
        <f t="shared" si="141"/>
        <v>0</v>
      </c>
      <c r="W292" s="10">
        <f t="shared" si="142"/>
        <v>0</v>
      </c>
    </row>
    <row r="293" spans="1:23" x14ac:dyDescent="0.2">
      <c r="A293" s="10"/>
      <c r="B293" s="10">
        <v>0</v>
      </c>
      <c r="C293" s="10">
        <v>0.2</v>
      </c>
      <c r="D293" s="10">
        <v>0.4</v>
      </c>
      <c r="E293" s="4">
        <v>0.6</v>
      </c>
      <c r="F293" s="4">
        <v>0.8</v>
      </c>
      <c r="G293" s="4">
        <v>1</v>
      </c>
      <c r="I293" s="10"/>
      <c r="J293" s="10">
        <f t="shared" si="143"/>
        <v>0</v>
      </c>
      <c r="K293" s="10">
        <f t="shared" si="137"/>
        <v>0.19066529000000002</v>
      </c>
      <c r="L293" s="10">
        <f t="shared" si="137"/>
        <v>9.9051500000000015E-2</v>
      </c>
      <c r="M293" s="10">
        <f t="shared" si="137"/>
        <v>0.29873271999999995</v>
      </c>
      <c r="N293" s="10">
        <f t="shared" si="137"/>
        <v>0.57684219000000003</v>
      </c>
      <c r="O293" s="10">
        <f t="shared" si="137"/>
        <v>0.16959809999999997</v>
      </c>
      <c r="Q293" s="10"/>
      <c r="R293" s="10">
        <f t="shared" si="144"/>
        <v>0</v>
      </c>
      <c r="S293" s="10">
        <f>K293+S286</f>
        <v>0.18133073000000002</v>
      </c>
      <c r="T293" s="10">
        <f>L293+T286</f>
        <v>-0.20190049999999998</v>
      </c>
      <c r="U293" s="10">
        <f>M293+U286</f>
        <v>-2.4740100000000265E-3</v>
      </c>
      <c r="V293" s="10">
        <f t="shared" si="141"/>
        <v>0.35353901000000004</v>
      </c>
      <c r="W293" s="10">
        <f t="shared" si="142"/>
        <v>-0.66076045999999999</v>
      </c>
    </row>
    <row r="294" spans="1:23" x14ac:dyDescent="0.2">
      <c r="A294" s="10"/>
      <c r="B294" s="10">
        <v>0</v>
      </c>
      <c r="C294" s="10">
        <v>0</v>
      </c>
      <c r="D294" s="10">
        <v>0</v>
      </c>
      <c r="E294" s="4">
        <v>0</v>
      </c>
      <c r="F294" s="4">
        <v>0</v>
      </c>
      <c r="G294" s="4">
        <v>0</v>
      </c>
      <c r="I294" s="10"/>
      <c r="J294" s="10">
        <v>0</v>
      </c>
      <c r="K294" s="10">
        <v>0</v>
      </c>
      <c r="L294" s="10">
        <v>0</v>
      </c>
      <c r="M294" s="4">
        <v>0</v>
      </c>
      <c r="N294" s="4">
        <v>0</v>
      </c>
      <c r="O294" s="4">
        <v>0</v>
      </c>
      <c r="Q294" s="10"/>
      <c r="R294" s="10">
        <v>0</v>
      </c>
      <c r="S294" s="10">
        <v>0</v>
      </c>
      <c r="T294" s="10">
        <v>0</v>
      </c>
      <c r="U294" s="4">
        <v>0</v>
      </c>
      <c r="V294" s="4">
        <v>0</v>
      </c>
      <c r="W294" s="4">
        <v>0</v>
      </c>
    </row>
    <row r="295" spans="1:23" x14ac:dyDescent="0.2">
      <c r="A295" s="10"/>
      <c r="B295" s="10">
        <v>0</v>
      </c>
      <c r="C295" s="10">
        <v>1.2563978</v>
      </c>
      <c r="D295" s="10">
        <v>2.51284156</v>
      </c>
      <c r="E295" s="4">
        <v>-2.5138562800000002</v>
      </c>
      <c r="F295" s="4">
        <v>-1.2573502400000001</v>
      </c>
      <c r="G295" s="4">
        <v>-8.0374999999999999E-4</v>
      </c>
      <c r="I295" s="10"/>
      <c r="J295" s="10">
        <v>0</v>
      </c>
      <c r="K295" s="10">
        <v>1.2563943399999999</v>
      </c>
      <c r="L295" s="10">
        <v>2.5128445300000002</v>
      </c>
      <c r="M295" s="4">
        <v>-2.5138592499999999</v>
      </c>
      <c r="N295" s="4">
        <v>-1.25732668</v>
      </c>
      <c r="O295" s="4">
        <v>-8.2835999999999999E-4</v>
      </c>
      <c r="Q295" s="10"/>
      <c r="R295" s="10">
        <v>0</v>
      </c>
      <c r="S295" s="10">
        <v>1.25638837</v>
      </c>
      <c r="T295" s="10">
        <v>2.5128801200000002</v>
      </c>
      <c r="U295" s="4">
        <v>-2.5136909599999999</v>
      </c>
      <c r="V295" s="4">
        <v>-1.25695957</v>
      </c>
      <c r="W295" s="4">
        <v>-3.4368000000000002E-4</v>
      </c>
    </row>
    <row r="296" spans="1:23" x14ac:dyDescent="0.2">
      <c r="A296" s="10"/>
      <c r="B296" s="10">
        <v>0</v>
      </c>
      <c r="C296" s="10">
        <v>0</v>
      </c>
      <c r="D296" s="10">
        <v>0</v>
      </c>
      <c r="E296" s="4">
        <v>0</v>
      </c>
      <c r="F296" s="4">
        <v>0</v>
      </c>
      <c r="G296" s="4">
        <v>0</v>
      </c>
      <c r="I296" s="10"/>
      <c r="J296" s="10">
        <v>0</v>
      </c>
      <c r="K296" s="10">
        <v>0</v>
      </c>
      <c r="L296" s="10">
        <v>0</v>
      </c>
      <c r="M296" s="4">
        <v>0</v>
      </c>
      <c r="N296" s="4">
        <v>0</v>
      </c>
      <c r="O296" s="4">
        <v>0</v>
      </c>
      <c r="Q296" s="10"/>
      <c r="R296" s="10">
        <v>0</v>
      </c>
      <c r="S296" s="10">
        <v>0</v>
      </c>
      <c r="T296" s="10">
        <v>0</v>
      </c>
      <c r="U296" s="4">
        <v>0</v>
      </c>
      <c r="V296" s="4">
        <v>0</v>
      </c>
      <c r="W296" s="4">
        <v>0</v>
      </c>
    </row>
    <row r="302" spans="1:23" x14ac:dyDescent="0.2">
      <c r="A302" s="4" t="s">
        <v>98</v>
      </c>
    </row>
    <row r="303" spans="1:23" x14ac:dyDescent="0.2">
      <c r="A303" s="4" t="s">
        <v>100</v>
      </c>
      <c r="B303" s="4">
        <v>0</v>
      </c>
      <c r="C303" s="4">
        <v>0.2</v>
      </c>
      <c r="D303" s="4">
        <v>0.4</v>
      </c>
      <c r="E303" s="4">
        <v>0.6</v>
      </c>
      <c r="F303" s="4">
        <v>0.8</v>
      </c>
      <c r="G303" s="4">
        <v>1</v>
      </c>
    </row>
    <row r="304" spans="1:23" x14ac:dyDescent="0.2">
      <c r="A304" s="4" t="s">
        <v>99</v>
      </c>
      <c r="B304" s="4">
        <f>2*PI()*B303</f>
        <v>0</v>
      </c>
      <c r="C304" s="4">
        <f t="shared" ref="C304:G304" si="145">2*PI()*C303</f>
        <v>1.2566370614359172</v>
      </c>
      <c r="D304" s="4">
        <f t="shared" si="145"/>
        <v>2.5132741228718345</v>
      </c>
      <c r="E304" s="4">
        <f t="shared" si="145"/>
        <v>3.7699111843077517</v>
      </c>
      <c r="F304" s="4">
        <f t="shared" si="145"/>
        <v>5.026548245743669</v>
      </c>
      <c r="G304" s="4">
        <f t="shared" si="145"/>
        <v>6.2831853071795862</v>
      </c>
    </row>
    <row r="305" spans="1:7" x14ac:dyDescent="0.2">
      <c r="B305" s="4">
        <v>0</v>
      </c>
      <c r="C305" s="4">
        <f t="shared" ref="C305" si="146">2*PI()*C304</f>
        <v>7.8956835208714864</v>
      </c>
      <c r="D305" s="4">
        <f t="shared" ref="D305" si="147">2*PI()*D304</f>
        <v>15.791367041742973</v>
      </c>
      <c r="E305" s="4">
        <v>-2.5132741300000001</v>
      </c>
      <c r="F305" s="4">
        <v>-1.2566370600000001</v>
      </c>
      <c r="G305" s="4">
        <v>2.8204138800000001E-9</v>
      </c>
    </row>
    <row r="306" spans="1:7" x14ac:dyDescent="0.2">
      <c r="A306" s="4" t="s">
        <v>101</v>
      </c>
      <c r="B306" s="4">
        <f>PI()*B303*B303</f>
        <v>0</v>
      </c>
      <c r="C306" s="4">
        <f t="shared" ref="C306:G306" si="148">PI()*C303*C303</f>
        <v>0.12566370614359174</v>
      </c>
      <c r="D306" s="4">
        <f t="shared" si="148"/>
        <v>0.50265482457436694</v>
      </c>
      <c r="E306" s="4">
        <f t="shared" si="148"/>
        <v>1.1309733552923256</v>
      </c>
      <c r="F306" s="4">
        <f t="shared" si="148"/>
        <v>2.0106192982974678</v>
      </c>
      <c r="G306" s="4">
        <f t="shared" si="148"/>
        <v>3.1415926535897931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EE78-0486-5B43-A42A-D5BEB5C9A9B2}">
  <dimension ref="A1:M25"/>
  <sheetViews>
    <sheetView zoomScaleNormal="169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baseColWidth="10" defaultRowHeight="16" x14ac:dyDescent="0.2"/>
  <cols>
    <col min="1" max="1" width="10.83203125" style="1"/>
    <col min="2" max="2" width="34.33203125" style="3" customWidth="1"/>
    <col min="3" max="3" width="12.1640625" style="1" customWidth="1"/>
    <col min="4" max="4" width="44.33203125" style="1" customWidth="1"/>
    <col min="5" max="5" width="30.5" style="1" customWidth="1"/>
    <col min="6" max="6" width="19.5" style="1" customWidth="1"/>
    <col min="7" max="8" width="17.33203125" style="1" customWidth="1"/>
    <col min="9" max="11" width="32.1640625" style="1" customWidth="1"/>
    <col min="12" max="12" width="10.83203125" style="1"/>
    <col min="13" max="13" width="14.83203125" style="1" customWidth="1"/>
    <col min="14" max="16384" width="10.83203125" style="1"/>
  </cols>
  <sheetData>
    <row r="1" spans="1:13" s="3" customFormat="1" ht="17" x14ac:dyDescent="0.2">
      <c r="A1" s="3" t="s">
        <v>3</v>
      </c>
      <c r="B1" s="3" t="s">
        <v>4</v>
      </c>
      <c r="C1" s="3" t="s">
        <v>5</v>
      </c>
      <c r="D1" s="3" t="s">
        <v>10</v>
      </c>
      <c r="E1" s="3" t="s">
        <v>16</v>
      </c>
      <c r="F1" s="3" t="s">
        <v>12</v>
      </c>
      <c r="G1" s="3" t="s">
        <v>11</v>
      </c>
      <c r="H1" s="3" t="s">
        <v>22</v>
      </c>
      <c r="I1" s="3" t="s">
        <v>13</v>
      </c>
      <c r="J1" s="3" t="s">
        <v>19</v>
      </c>
      <c r="K1" s="3" t="s">
        <v>60</v>
      </c>
      <c r="L1" s="3" t="s">
        <v>20</v>
      </c>
      <c r="M1" s="3" t="s">
        <v>21</v>
      </c>
    </row>
    <row r="2" spans="1:13" ht="221" x14ac:dyDescent="0.2">
      <c r="A2" s="1">
        <v>1</v>
      </c>
      <c r="B2" s="3" t="s">
        <v>35</v>
      </c>
      <c r="C2" s="1" t="s">
        <v>28</v>
      </c>
      <c r="D2" s="2" t="s">
        <v>18</v>
      </c>
      <c r="E2" s="2" t="s">
        <v>17</v>
      </c>
      <c r="F2" s="1" t="s">
        <v>14</v>
      </c>
      <c r="G2" s="1" t="s">
        <v>15</v>
      </c>
      <c r="H2" s="1" t="s">
        <v>23</v>
      </c>
      <c r="I2" s="1" t="s">
        <v>27</v>
      </c>
      <c r="J2" s="1" t="s">
        <v>29</v>
      </c>
    </row>
    <row r="3" spans="1:13" ht="204" x14ac:dyDescent="0.2">
      <c r="A3" s="1">
        <v>2</v>
      </c>
      <c r="B3" s="3" t="s">
        <v>35</v>
      </c>
      <c r="C3" s="1" t="s">
        <v>7</v>
      </c>
      <c r="D3" s="2" t="s">
        <v>44</v>
      </c>
      <c r="E3" s="2" t="s">
        <v>17</v>
      </c>
      <c r="F3" s="1" t="s">
        <v>26</v>
      </c>
      <c r="G3" s="1" t="s">
        <v>25</v>
      </c>
      <c r="H3" s="1" t="s">
        <v>24</v>
      </c>
      <c r="I3" s="1" t="s">
        <v>52</v>
      </c>
      <c r="J3" s="1" t="s">
        <v>47</v>
      </c>
      <c r="M3" s="1" t="s">
        <v>53</v>
      </c>
    </row>
    <row r="4" spans="1:13" ht="204" x14ac:dyDescent="0.2">
      <c r="A4" s="1">
        <v>3</v>
      </c>
      <c r="B4" s="3" t="s">
        <v>36</v>
      </c>
      <c r="C4" s="1" t="s">
        <v>7</v>
      </c>
      <c r="D4" s="2" t="s">
        <v>44</v>
      </c>
      <c r="E4" s="2" t="s">
        <v>17</v>
      </c>
      <c r="F4" s="1" t="s">
        <v>26</v>
      </c>
      <c r="G4" s="1" t="s">
        <v>43</v>
      </c>
      <c r="H4" s="1" t="s">
        <v>24</v>
      </c>
      <c r="I4" s="1" t="s">
        <v>54</v>
      </c>
      <c r="J4" s="1" t="s">
        <v>50</v>
      </c>
      <c r="M4" s="1" t="s">
        <v>53</v>
      </c>
    </row>
    <row r="5" spans="1:13" ht="204" x14ac:dyDescent="0.2">
      <c r="A5" s="1">
        <v>4</v>
      </c>
      <c r="B5" s="3" t="s">
        <v>37</v>
      </c>
      <c r="D5" s="2" t="s">
        <v>44</v>
      </c>
      <c r="E5" s="2" t="s">
        <v>17</v>
      </c>
      <c r="F5" s="1" t="s">
        <v>26</v>
      </c>
      <c r="G5" s="1" t="s">
        <v>45</v>
      </c>
      <c r="H5" s="1" t="s">
        <v>24</v>
      </c>
      <c r="I5" s="1" t="s">
        <v>46</v>
      </c>
      <c r="J5" s="1" t="s">
        <v>51</v>
      </c>
      <c r="K5" s="1" t="s">
        <v>63</v>
      </c>
      <c r="M5" s="1" t="s">
        <v>55</v>
      </c>
    </row>
    <row r="6" spans="1:13" ht="204" x14ac:dyDescent="0.2">
      <c r="A6" s="1">
        <v>5</v>
      </c>
      <c r="B6" s="3" t="s">
        <v>38</v>
      </c>
      <c r="D6" s="2" t="s">
        <v>44</v>
      </c>
      <c r="E6" s="2" t="s">
        <v>17</v>
      </c>
      <c r="F6" s="1" t="s">
        <v>26</v>
      </c>
      <c r="G6" s="1" t="s">
        <v>48</v>
      </c>
      <c r="H6" s="1" t="s">
        <v>24</v>
      </c>
      <c r="I6" s="1" t="s">
        <v>49</v>
      </c>
      <c r="J6" s="1" t="s">
        <v>64</v>
      </c>
      <c r="K6" s="1" t="s">
        <v>62</v>
      </c>
      <c r="M6" s="1" t="s">
        <v>61</v>
      </c>
    </row>
    <row r="7" spans="1:13" ht="204" x14ac:dyDescent="0.2">
      <c r="A7" s="1">
        <v>6</v>
      </c>
      <c r="B7" s="3" t="s">
        <v>56</v>
      </c>
      <c r="C7" s="1" t="s">
        <v>58</v>
      </c>
      <c r="D7" s="2" t="s">
        <v>44</v>
      </c>
      <c r="E7" s="2" t="s">
        <v>17</v>
      </c>
      <c r="F7" s="1" t="s">
        <v>26</v>
      </c>
      <c r="G7" s="1" t="s">
        <v>57</v>
      </c>
      <c r="H7" s="1" t="s">
        <v>24</v>
      </c>
      <c r="I7" s="1" t="s">
        <v>59</v>
      </c>
      <c r="J7" s="1" t="s">
        <v>65</v>
      </c>
      <c r="M7" s="1" t="s">
        <v>53</v>
      </c>
    </row>
    <row r="8" spans="1:13" x14ac:dyDescent="0.2">
      <c r="D8" s="2"/>
      <c r="E8" s="2"/>
    </row>
    <row r="9" spans="1:13" x14ac:dyDescent="0.2">
      <c r="D9" s="2"/>
      <c r="E9" s="2"/>
    </row>
    <row r="10" spans="1:13" x14ac:dyDescent="0.2">
      <c r="D10" s="2"/>
      <c r="E10" s="2"/>
    </row>
    <row r="11" spans="1:13" x14ac:dyDescent="0.2">
      <c r="D11" s="2"/>
      <c r="E11" s="2"/>
    </row>
    <row r="12" spans="1:13" ht="204" x14ac:dyDescent="0.2">
      <c r="B12" s="3" t="s">
        <v>30</v>
      </c>
      <c r="C12" s="1" t="s">
        <v>66</v>
      </c>
      <c r="D12" s="2" t="s">
        <v>31</v>
      </c>
      <c r="E12" s="2" t="s">
        <v>17</v>
      </c>
      <c r="F12" s="1" t="s">
        <v>32</v>
      </c>
      <c r="G12" s="1" t="s">
        <v>33</v>
      </c>
      <c r="H12" s="1" t="s">
        <v>34</v>
      </c>
      <c r="M12" s="1" t="s">
        <v>42</v>
      </c>
    </row>
    <row r="13" spans="1:13" ht="55" customHeight="1" x14ac:dyDescent="0.2"/>
    <row r="16" spans="1:13" ht="52" customHeight="1" x14ac:dyDescent="0.2">
      <c r="B16" s="3" t="s">
        <v>39</v>
      </c>
    </row>
    <row r="17" spans="2:3" ht="17" x14ac:dyDescent="0.2">
      <c r="B17" s="3" t="s">
        <v>40</v>
      </c>
    </row>
    <row r="18" spans="2:3" ht="17" x14ac:dyDescent="0.2">
      <c r="B18" s="3" t="s">
        <v>41</v>
      </c>
    </row>
    <row r="21" spans="2:3" ht="17" x14ac:dyDescent="0.2">
      <c r="B21" s="3" t="s">
        <v>0</v>
      </c>
      <c r="C21" s="1" t="s">
        <v>7</v>
      </c>
    </row>
    <row r="22" spans="2:3" ht="17" x14ac:dyDescent="0.2">
      <c r="B22" s="3" t="s">
        <v>6</v>
      </c>
      <c r="C22" s="1" t="s">
        <v>7</v>
      </c>
    </row>
    <row r="23" spans="2:3" ht="17" x14ac:dyDescent="0.2">
      <c r="B23" s="3" t="s">
        <v>1</v>
      </c>
      <c r="C23" s="1" t="s">
        <v>8</v>
      </c>
    </row>
    <row r="24" spans="2:3" ht="31" customHeight="1" x14ac:dyDescent="0.2">
      <c r="B24" s="3" t="s">
        <v>2</v>
      </c>
      <c r="C24" s="1" t="s">
        <v>8</v>
      </c>
    </row>
    <row r="25" spans="2:3" ht="34" x14ac:dyDescent="0.2">
      <c r="B25" s="3" t="s">
        <v>9</v>
      </c>
      <c r="C25" s="1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Verification</vt:lpstr>
      <vt:lpstr>Sheet4</vt:lpstr>
      <vt:lpstr>Sheet1</vt:lpstr>
      <vt:lpstr>Verification for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Shukla, Kartikay</dc:creator>
  <cp:lastModifiedBy>Shukla, Kartikay</cp:lastModifiedBy>
  <dcterms:created xsi:type="dcterms:W3CDTF">2025-10-16T20:43:35Z</dcterms:created>
  <dcterms:modified xsi:type="dcterms:W3CDTF">2025-11-14T23:16:28Z</dcterms:modified>
</cp:coreProperties>
</file>